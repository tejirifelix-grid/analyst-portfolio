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Working" sheetId="1" r:id="rId5"/>
    <sheet state="visible" name="Summary &amp; Insights" sheetId="2" r:id="rId6"/>
  </sheets>
  <definedNames>
    <definedName hidden="1" localSheetId="0" name="_xlnm._FilterDatabase">Cleaned_Working!$A$1:$P$100</definedName>
  </definedNames>
  <calcPr/>
</workbook>
</file>

<file path=xl/sharedStrings.xml><?xml version="1.0" encoding="utf-8"?>
<sst xmlns="http://schemas.openxmlformats.org/spreadsheetml/2006/main" count="338" uniqueCount="330">
  <si>
    <t>ID</t>
  </si>
  <si>
    <t>TransactionDates</t>
  </si>
  <si>
    <t>PaymentsHistory</t>
  </si>
  <si>
    <t>m1</t>
  </si>
  <si>
    <t>m2</t>
  </si>
  <si>
    <t>m3</t>
  </si>
  <si>
    <t>m4</t>
  </si>
  <si>
    <t>m5</t>
  </si>
  <si>
    <t>m6</t>
  </si>
  <si>
    <t>Total_Future_Repaid</t>
  </si>
  <si>
    <t>Repaid_Amount_Bucket</t>
  </si>
  <si>
    <t>Default_Flag</t>
  </si>
  <si>
    <t>PaSt_Payment_Count</t>
  </si>
  <si>
    <t>Missed_Payment_Count</t>
  </si>
  <si>
    <t>Has_Missed_Payment</t>
  </si>
  <si>
    <t>Total_past_paid</t>
  </si>
  <si>
    <t>Pat_avg_payment</t>
  </si>
  <si>
    <t>ID_O5KG3X6</t>
  </si>
  <si>
    <t>['02-2018', '03-2018', '04-2018', '05-2018', '06-2018', '07-2018', '08-2018', '09-2018', '10-2018', '11-2018', '12-2018', '01-2019', '02-2019', '03-2019', '04-2019', '05-2019', '06-2019', '07-2019', '08-2019', '09-2019', '10-2019', '11-2019', '12-2019', '01-2020', '02-2020']</t>
  </si>
  <si>
    <t>[3000.0, 2385.0, 1000.0, 2400.0, 1000.0, 2000.0, 1250.0, 950.0, 460.0, 300.0, 110.0, 105.0, 200.0, 110.0, 210.0, 300.0, 200.0, 650.0, 605.0, 65.0, 100.0, 110.0, 3700.0, 950.0, 1525.0]</t>
  </si>
  <si>
    <t>ID_1F9H57X</t>
  </si>
  <si>
    <t>['04-2018', '05-2018', '06-2018', '07-2018', '08-2018', '09-2018', '10-2018', '11-2018', '12-2018', '01-2019', '02-2019', '03-2019']</t>
  </si>
  <si>
    <t>[2500.0, 1860.0, 1530.0, 1400.0, 1500.0, 1650.0, 1650.0, 1650.0, 1400.0, 1850.0, 3605.0, 2660.0]</t>
  </si>
  <si>
    <t>ID_KDPEWCO</t>
  </si>
  <si>
    <t>['03-2018', '05-2018', '06-2018', '07-2018', '08-2018', '09-2018', '10-2018', '11-2018', '12-2018', '01-2019', '02-2019', '03-2019', '04-2019', '05-2019', '06-2019', '07-2019', '08-2019', '09-2019', '10-2019', '11-2019', '12-2019', '01-2020', '02-2020', '03-2020', '04-2020', '05-2020', '06-2020', '07-2020', '08-2020', '09-2020', '10-2020', '11-2020']</t>
  </si>
  <si>
    <t>[8000.0, 300.0, 420.0, 100.0, 400.0, 600.0, 1685.0, 1400.0, 1500.0, 1600.0, 1480.0, 1400.0, 1620.0, 1155.0, 1300.0, 700.0, 810.0, 790.0, 900.0, 1100.0, 800.0, 955.0, 600.0, 700.0, 200.0, 400.0, 400.0, 500.0, 600.0, 1100.0, 2000.0, 1950.0]</t>
  </si>
  <si>
    <t>ID_UYGBPQT</t>
  </si>
  <si>
    <t>['08-2017', '09-2017', '10-2017', '01-2018', '07-2018', '08-2018', '09-2018', '10-2018', '11-2018', '12-2018']</t>
  </si>
  <si>
    <t>[12000.0, 6730.0, 3000.0, 3000.0, 2600.0, 2900.0, 2200.0, 3000.0, 4200.0, 1000.0]</t>
  </si>
  <si>
    <t>ID_GVW7LEP</t>
  </si>
  <si>
    <t>['04-2018', '05-2018', '06-2018', '07-2018', '08-2018', '09-2018', '10-2018', '11-2018', '12-2018', '01-2019', '02-2019', '03-2019', '04-2019', '05-2019', '06-2019', '07-2019', '08-2019', '09-2019']</t>
  </si>
  <si>
    <t>[2775.0, 1320.0, 1540.0, 990.0, 1155.0, 1155.0, 1155.0, 770.0, 1045.0, 550.0, 715.0, 660.0, 650.0, 990.0, 935.0, 935.0, 1100.0, 2055.0]</t>
  </si>
  <si>
    <t>ID_UOJ52DX</t>
  </si>
  <si>
    <t>['03-2018', '04-2018', '05-2018', '06-2018', '07-2018', '08-2018', '09-2018', '12-2018', '01-2019', '02-2019']</t>
  </si>
  <si>
    <t>[8599.0, 3485.0, 3000.0, 1300.0, 100.0, 215.0, 205.0, 110.0, 1410.0, 1000.0]</t>
  </si>
  <si>
    <t>ID_ZYLVKN0</t>
  </si>
  <si>
    <t>['04-2018', '05-2018', '09-2018', '10-2018', '11-2018', '12-2018', '01-2019', '02-2019', '03-2019', '05-2019']</t>
  </si>
  <si>
    <t>[3000.0, 4500.0, 400.0, 750.0, 350.0, 2200.0, 1270.0, 2000.0, 3310.0, 800.0]</t>
  </si>
  <si>
    <t>ID_RA4PSAL</t>
  </si>
  <si>
    <t>['03-2018', '05-2018', '06-2018', '07-2018', '08-2018', '09-2018', '10-2018', '11-2018', '12-2018', '01-2019']</t>
  </si>
  <si>
    <t>[5000.0, 1500.0, 2555.0, 2000.0, 1000.0, 250.0, 860.0, 1650.0, 1320.0, 1510.0]</t>
  </si>
  <si>
    <t>ID_BRR6P6W</t>
  </si>
  <si>
    <t>['02-2018', '05-2018', '07-2018', '08-2018', '09-2018', '10-2018']</t>
  </si>
  <si>
    <t>[13000.0, 1650.0, 2850.0, 2850.0, 1400.0, 8900.0]</t>
  </si>
  <si>
    <t>ID_ET5313E</t>
  </si>
  <si>
    <t>['02-2018', '03-2018', '04-2018', '05-2018', '07-2018']</t>
  </si>
  <si>
    <t>[3000.0, 4950.0, 3300.0, 1650.0, 2235.0]</t>
  </si>
  <si>
    <t>ID_GLD0EES</t>
  </si>
  <si>
    <t>['02-2018', '03-2018', '04-2018', '08-2018', '10-2018', '11-2018']</t>
  </si>
  <si>
    <t>[13000.0, 10000.0, 5000.0, 5000.0, 4000.0, 4000.0]</t>
  </si>
  <si>
    <t>ID_L561HVU</t>
  </si>
  <si>
    <t>['03-2018', '04-2018', '05-2018', '06-2018', '07-2018', '08-2018', '09-2018', '10-2018', '11-2018']</t>
  </si>
  <si>
    <t>[7500.0, 2900.0, 3000.0, 1900.0, 3500.0, 3000.0, 3000.0, 3000.0, 3000.0]</t>
  </si>
  <si>
    <t>ID_FTV8FZJ</t>
  </si>
  <si>
    <t>['04-2018', '05-2018', '06-2018', '07-2018', '09-2018', '11-2018', '01-2019']</t>
  </si>
  <si>
    <t>[2885.0, 500.0, 550.0, 1650.0, 2000.0, 2000.0, 4000.0]</t>
  </si>
  <si>
    <t>ID_GAIAFV3</t>
  </si>
  <si>
    <t>['02-2018', '03-2018', '04-2018', '05-2018', '06-2018', '07-2018', '08-2018', '09-2018', '10-2018', '11-2018', '12-2018', '01-2019', '02-2019']</t>
  </si>
  <si>
    <t>[4055.0, 1400.0, 1400.0, 1800.0, 1550.0, 1700.0, 1300.0, 2000.0, 2000.0, 2000.0, 700.0, 1700.0, 950.0]</t>
  </si>
  <si>
    <t>ID_12QBNP0</t>
  </si>
  <si>
    <t>['04-2018', '06-2018', '07-2018', '08-2018', '09-2018', '10-2018', '11-2018', '01-2019', '02-2019', '03-2019', '05-2019', '06-2019', '07-2019', '08-2019', '10-2019']</t>
  </si>
  <si>
    <t>[8000.0, 2850.0, 385.0, 380.0, 665.0, 190.0, 2850.0, 665.0, 190.0, 2850.0, 2850.0, 2850.0, 2850.0, 2850.0, 5795.0]</t>
  </si>
  <si>
    <t>ID_8MFTNJ8</t>
  </si>
  <si>
    <t>['03-2018', '04-2018', '05-2018', '08-2018', '09-2018', '10-2018', '11-2018', '12-2018', '01-2019', '02-2019']</t>
  </si>
  <si>
    <t>[7620.0, 2850.0, 2850.0, 2850.0, 2850.0, 2850.0, 2850.0, 2850.0, 2850.0, 2850.0]</t>
  </si>
  <si>
    <t>ID_F63EKBS</t>
  </si>
  <si>
    <t>['02-2018', '03-2018', '04-2018', '05-2018', '06-2018']</t>
  </si>
  <si>
    <t>[3340.0, 400.0, 2000.0, 245.0, 1355.0]</t>
  </si>
  <si>
    <t>ID_TP5ME1R</t>
  </si>
  <si>
    <t>['04-2018', '07-2018', '08-2018', '09-2018', '10-2018', '12-2018', '01-2019', '03-2019', '04-2019', '05-2019']</t>
  </si>
  <si>
    <t>[6350.0, 1815.0, 550.0, 55.0, 1660.0, 440.0, 2210.0, 1010.0, 820.0, 2220.0]</t>
  </si>
  <si>
    <t>ID_2D7YVBC</t>
  </si>
  <si>
    <t>['04-2018', '05-2018', '06-2018', '07-2018', '08-2018', '09-2018', '10-2018', '11-2018', '12-2018', '01-2019', '02-2019', '03-2019', '04-2019', '05-2019', '06-2019', '07-2019', '08-2019', '09-2019', '10-2019', '11-2019', '12-2019', '01-2020', '02-2020', '03-2020', '04-2020']</t>
  </si>
  <si>
    <t>[7520.0, 1735.0, 2165.0, 1775.0, 1335.0, 2210.0, 1360.0, 1685.0, 1700.0, 770.0, 1080.0, 950.0, 970.0, 1560.0, 855.0, 1470.0, 1145.0, 738.0, 1045.0, 1140.0, 1710.0, 460.0, 855.0, 840.0, 2530.0]</t>
  </si>
  <si>
    <t>ID_4YKKTRO</t>
  </si>
  <si>
    <t>['02-2018', '03-2018', '04-2018', '05-2018', '06-2018', '07-2018', '08-2018', '09-2018', '10-2018', '11-2018', '12-2018', '01-2019', '02-2019', '03-2019']</t>
  </si>
  <si>
    <t>[6500.0, 3100.0, 1895.0, 2900.0, 3005.0, 2810.0, 2980.0, 1760.0, 2580.0, 2000.0, 2700.0, 2450.0, 2050.0, 1600.0]</t>
  </si>
  <si>
    <t>ID_I1UCVI5</t>
  </si>
  <si>
    <t>['03-2018', '04-2018', '06-2018', '08-2018', '09-2018', '10-2018']</t>
  </si>
  <si>
    <t>[4115.0, 3600.0, 4800.0, 3000.0, 830.0, 3800.0]</t>
  </si>
  <si>
    <t>ID_1RS6KSO</t>
  </si>
  <si>
    <t>['04-2018', '05-2018', '06-2018', '07-2018', '08-2018', '09-2018', '10-2018', '11-2018']</t>
  </si>
  <si>
    <t>[4600.0, 1230.0, 2000.0, 2000.0, 2100.0, 1000.0, 2000.0, 1110.0]</t>
  </si>
  <si>
    <t>ID_4J1S2E5</t>
  </si>
  <si>
    <t>['02-2018', '03-2018', '04-2018', '05-2018', '06-2018', '07-2018']</t>
  </si>
  <si>
    <t>[4500.0, 1500.0, 2000.0, 2000.0, 2000.0, 2000.0]</t>
  </si>
  <si>
    <t>ID_R1I9PKB</t>
  </si>
  <si>
    <t>['01-2018', '03-2018', '05-2018', '06-2018', '07-2018', '09-2018', '10-2018']</t>
  </si>
  <si>
    <t>[9044.0, 6000.0, 6000.0, 3000.0, 3000.0, 3000.0, 6000.0]</t>
  </si>
  <si>
    <t>ID_VHVF5JN</t>
  </si>
  <si>
    <t>['08-2017', '09-2017', '10-2017', '12-2017', '01-2018', '02-2018', '03-2018', '04-2018', '05-2018', '06-2018']</t>
  </si>
  <si>
    <t>[2200.0, 1000.0, 200.0, 100.0, 40.0, 280.0, 500.0, 40.0, 500.0, 190.0]</t>
  </si>
  <si>
    <t>ID_B6G5XWG</t>
  </si>
  <si>
    <t>['03-2018', '04-2018', '05-2018', '06-2018', '07-2018', '09-2018', '10-2018', '11-2018', '12-2018', '01-2019', '02-2019', '03-2019', '04-2019', '05-2019', '06-2019']</t>
  </si>
  <si>
    <t>[4385.0, 2000.0, 1740.0, 915.0, 750.0, 100.0, 100.0, 100.0, 90.0, 200.0, 100.0, 200.0, 1300.0, 500.0, 5000.0]</t>
  </si>
  <si>
    <t>ID_57M907H</t>
  </si>
  <si>
    <t>['02-2018', '03-2018', '04-2018', '06-2018', '07-2018', '08-2018', '09-2018', '10-2018', '11-2018', '12-2018', '01-2019', '02-2019', '03-2019']</t>
  </si>
  <si>
    <t>[6500.0, 3000.0, 5500.0, 3000.0, 2000.0, 1850.0, 2900.0, 3300.0, 3000.0, 2300.0, 2750.0, 2400.0, 2850.0]</t>
  </si>
  <si>
    <t>ID_LSS3OI1</t>
  </si>
  <si>
    <t>['04-2018', '05-2018', '07-2018', '08-2018', '09-2018', '10-2018', '11-2018', '12-2018', '01-2019', '02-2019', '03-2019']</t>
  </si>
  <si>
    <t>[10490.0, 2090.0, 3840.0, 1260.0, 3900.0, 1610.0, 6475.0, 845.0, 2376.0, 3270.0, 1808.0]</t>
  </si>
  <si>
    <t>ID_JXHJ6FN</t>
  </si>
  <si>
    <t>['01-2018', '02-2018', '03-2018', '04-2018', '07-2018', '08-2018', '09-2018', '10-2018', '11-2018', '01-2019', '02-2019']</t>
  </si>
  <si>
    <t>[13000.0, 200.0, 1200.0, 1100.0, 2900.0, 1600.0, 2900.0, 5300.0, 3400.0, 3060.0, 4100.0]</t>
  </si>
  <si>
    <t>ID_KGLRUBH</t>
  </si>
  <si>
    <t>['01-2018', '02-2018', '03-2018', '04-2018', '05-2018', '06-2018', '07-2018', '09-2018', '12-2018', '01-2019']</t>
  </si>
  <si>
    <t>[3000.0, 1340.0, 1700.0, 900.0, 2000.0, 1000.0, 2000.0, 5000.0, 500.0, 2000.0]</t>
  </si>
  <si>
    <t>ID_42ZPUHQ</t>
  </si>
  <si>
    <t>['07-2017', '08-2017', '09-2017', '10-2017', '11-2017', '01-2018', '03-2018', '04-2018', '05-2018', '06-2018', '07-2018', '08-2018', '09-2018', '10-2018', '11-2018', '12-2018', '01-2019', '02-2019', '03-2019', '04-2019', '05-2019', '06-2019', '07-2019', '08-2019', '09-2019', '10-2019', '11-2019', '12-2019', '01-2020', '02-2020', '03-2020', '07-2020']</t>
  </si>
  <si>
    <t>[2300.0, 880.0, 1140.0, 580.0, 80.0, 160.0, 280.0, 80.0, 40.0, 120.0, 40.0, 80.0, 80.0, 80.0, 100.0, 120.0, 120.0, 80.0, 80.0, 50.0, 80.0, 220.0, 480.0, 240.0, 10.0, 200.0, 80.0, 80.0, 80.0, 40.0, 80.0, 40.0]</t>
  </si>
  <si>
    <t>ID_MD6DS1G</t>
  </si>
  <si>
    <t>['01-2020', '02-2020', '03-2020', '04-2020', '05-2020']</t>
  </si>
  <si>
    <t>[2300.0, 1360.0, 880.0, 1080.0, 1089.0]</t>
  </si>
  <si>
    <t>ID_TTHZCZN</t>
  </si>
  <si>
    <t>['03-2018', '04-2018', '05-2018', '06-2018', '07-2018', '09-2018', '11-2018', '12-2018', '02-2019', '03-2019', '04-2019', '05-2019']</t>
  </si>
  <si>
    <t>[2500.0, 2700.0, 1150.0, 2000.0, 1900.0, 2400.0, 1650.0, 2000.0, 2000.0, 2000.0, 1000.0, 1500.0]</t>
  </si>
  <si>
    <t>ID_RMBBUQ8</t>
  </si>
  <si>
    <t>['04-2018', '05-2018', '06-2018', '09-2018', '12-2018']</t>
  </si>
  <si>
    <t>[3275.0, 3500.0, 6000.0, 5000.0, 3000.0]</t>
  </si>
  <si>
    <t>ID_1K1SQNA</t>
  </si>
  <si>
    <t>['04-2018', '05-2018', '06-2018', '08-2018', '09-2018']</t>
  </si>
  <si>
    <t>[4000.0, 4000.0, 2000.0, 1000.0, 2500.0]</t>
  </si>
  <si>
    <t>ID_I0HHIJY</t>
  </si>
  <si>
    <t>['02-2018', '03-2018', '04-2018', '05-2018', '06-2018', '08-2018', '09-2018', '10-2018', '11-2018', '12-2018', '01-2019', '02-2019', '03-2019', '04-2019', '05-2019', '06-2019', '07-2019', '08-2019', '09-2019', '10-2019', '11-2019', '12-2019']</t>
  </si>
  <si>
    <t>[3000.0, 1600.0, 1200.0, 800.0, 620.0, 220.0, 275.0, 1200.0, 1200.0, 165.0, 400.0, 330.0, 400.0, 660.0, 165.0, 730.0, 1130.0, 495.0, 1420.0, 1410.0, 2200.0, 55.0]</t>
  </si>
  <si>
    <t>ID_SBG9SEF</t>
  </si>
  <si>
    <t>[9640.0, 955.0, 1550.0, 2300.0, 2495.0, 2755.0, 1860.0, 2350.0, 1945.0, 2280.0, 2158.0, 2390.0, 2535.0, 2292.0, 2447.0, 2820.0, 2590.0, 2370.0]</t>
  </si>
  <si>
    <t>ID_8YT8ULM</t>
  </si>
  <si>
    <t>['03-2018', '04-2018', '05-2018', '06-2018', '07-2018', '08-2018', '09-2018', '10-2018', '11-2018', '12-2018', '01-2019']</t>
  </si>
  <si>
    <t>[3050.0, 1705.0, 1045.0, 1705.0, 1760.0, 1966.0, 2750.0, 660.0, 2365.0, 1650.0, 2200.0]</t>
  </si>
  <si>
    <t>ID_LXXEIN9</t>
  </si>
  <si>
    <t>['04-2018', '08-2018', '10-2018', '11-2018', '12-2018', '01-2019', '02-2019', '03-2019', '04-2019', '05-2019', '06-2019', '07-2019']</t>
  </si>
  <si>
    <t>[13000.0, 3000.0, 3000.0, 3000.0, 2000.0, 4000.0, 1000.0, 3300.0, 2000.0, 3600.0, 2100.0, 2500.0]</t>
  </si>
  <si>
    <t>ID_N8C5MJH</t>
  </si>
  <si>
    <t>['04-2018', '05-2018', '06-2018', '07-2018', '08-2018', '10-2018', '11-2018', '12-2018', '01-2019', '02-2019', '03-2019']</t>
  </si>
  <si>
    <t>[4200.0, 1200.0, 2000.0, 2500.0, 2000.0, 3000.0, 200.0, 1830.0, 1700.0, 1500.0, 1000.0]</t>
  </si>
  <si>
    <t>ID_QMSWF4S</t>
  </si>
  <si>
    <t>['04-2018', '05-2018', '08-2018', '10-2018', '11-2018', '12-2018', '01-2019', '02-2019', '03-2019', '04-2019', '05-2019', '06-2019', '07-2019']</t>
  </si>
  <si>
    <t>[10000.0, 3000.0, 900.0, 4000.0, 1450.0, 4448.0, 1000.0, 3000.0, 1980.0, 2500.0, 3000.0, 3500.0, 1500.0]</t>
  </si>
  <si>
    <t>ID_DPKMC4R</t>
  </si>
  <si>
    <t>[3000.0, 2000.0, 2000.0, 4000.0, 2000.0]</t>
  </si>
  <si>
    <t>ID_TLOI4PI</t>
  </si>
  <si>
    <t>['03-2018', '04-2018', '06-2018', '08-2018', '10-2018', '11-2018']</t>
  </si>
  <si>
    <t>[13177.0, 3000.0, 1000.0, 3000.0, 1000.0, 4000.0]</t>
  </si>
  <si>
    <t>ID_CM5PZRS</t>
  </si>
  <si>
    <t>['02-2018', '04-2018', '05-2018', '06-2018', '08-2018']</t>
  </si>
  <si>
    <t>[6500.0, 2000.0, 1500.0, 5000.0, 1000.0]</t>
  </si>
  <si>
    <t>ID_X4LZTMG</t>
  </si>
  <si>
    <t>['03-2018', '06-2018', '07-2018', '08-2018', '09-2018']</t>
  </si>
  <si>
    <t>[8000.0, 4000.0, 4000.0, 4000.0, 4000.0]</t>
  </si>
  <si>
    <t>ID_F3HVUOH</t>
  </si>
  <si>
    <t>['04-2018', '05-2018', '06-2018', '07-2018', '08-2018', '09-2018', '10-2018', '11-2018', '12-2018', '01-2019', '02-2019', '03-2019', '04-2019', '05-2019']</t>
  </si>
  <si>
    <t>[6500.0, 4000.0, 2000.0, 2000.0, 4000.0, 2000.0, 4000.0, 2000.0, 2100.0, 3500.0, 2300.0, 3000.0, 2400.0, 2400.0]</t>
  </si>
  <si>
    <t>ID_CK9VEAR</t>
  </si>
  <si>
    <t>['03-2018', '04-2018', '05-2018', '06-2018', '07-2018']</t>
  </si>
  <si>
    <t>[4500.0, 1500.0, 1500.0, 1500.0, 3500.0]</t>
  </si>
  <si>
    <t>ID_IITRON2</t>
  </si>
  <si>
    <t>['08-2017', '09-2017', '11-2017', '12-2017', '01-2018', '02-2018', '03-2018', '05-2018', '06-2018', '07-2018', '08-2018']</t>
  </si>
  <si>
    <t>[9590.0, 90.0, 1000.0, 2610.0, 2700.0, 2500.0, 5240.0, 2450.0, 3550.0, 3000.0, 1000.0]</t>
  </si>
  <si>
    <t>ID_NVXN7JY</t>
  </si>
  <si>
    <t>['02-2018', '04-2018', '05-2018', '06-2018', '07-2018']</t>
  </si>
  <si>
    <t>ID_EHH6R1D</t>
  </si>
  <si>
    <t>['02-2018', '03-2018', '05-2018', '09-2018', '11-2018', '12-2018', '01-2019']</t>
  </si>
  <si>
    <t>[6500.0, 5000.0, 10000.0, 2000.0, 4000.0, 2000.0, 2000.0]</t>
  </si>
  <si>
    <t>ID_LH5MQV4</t>
  </si>
  <si>
    <t>['04-2018', '05-2018', '06-2018', '07-2018', '08-2018', '09-2018', '10-2018', '11-2018', '12-2018', '01-2019', '02-2019', '03-2019', '04-2019', '05-2019', '06-2019', '07-2019']</t>
  </si>
  <si>
    <t>[4500.0, 1800.0, 3100.0, 1200.0, 1000.0, 480.0, 2000.0, 500.0, 1020.0, 450.0, 1500.0, 1566.0, 1000.0, 1000.0, 2000.0, 1000.0]</t>
  </si>
  <si>
    <t>ID_B5FA9NV</t>
  </si>
  <si>
    <t>['03-2018', '07-2018', '08-2018', '09-2018', '10-2018', '11-2018', '12-2018', '01-2019', '02-2019']</t>
  </si>
  <si>
    <t>[9499.0, 2400.0, 660.0, 1615.0, 1420.0, 1690.0, 1675.0, 2230.0, 1100.0]</t>
  </si>
  <si>
    <t>ID_LPR3ERZ</t>
  </si>
  <si>
    <t>['03-2018', '04-2018', '05-2018', '06-2018', '07-2018', '08-2018', '09-2018', '10-2018', '11-2018', '12-2018', '01-2019', '02-2019', '03-2019', '04-2019', '05-2019', '06-2019', '07-2019']</t>
  </si>
  <si>
    <t>[2665.0, 1430.0, 1460.0, 1210.0, 1235.0, 1625.0, 1400.0, 660.0, 845.0, 1230.0, 1660.0, 1120.0, 1510.0, 1280.0, 1600.0, 1385.0, 1650.0]</t>
  </si>
  <si>
    <t>ID_R8F28D0</t>
  </si>
  <si>
    <t>['03-2018', '04-2018', '05-2018', '06-2018', '07-2018', '08-2018', '09-2018', '10-2018', '11-2018', '12-2018', '01-2019', '02-2019', '03-2019', '04-2019', '05-2019', '06-2019', '07-2019', '08-2019', '09-2019', '10-2019', '11-2019', '12-2019', '01-2020', '02-2020', '03-2020', '04-2020', '05-2020']</t>
  </si>
  <si>
    <t>[3629.0, 1145.0, 1122.0, 440.0, 110.0, 885.0, 765.0, 465.0, 160.0, 220.0, 228.0, 125.0, 665.0, 170.0, 200.0, 500.0, 55.0, 990.0, 600.0, 1110.0, 800.0, 1299.0, 55.0, 405.0, 1960.0, 100.0, 2000.0]</t>
  </si>
  <si>
    <t>ID_ZDI9ATU</t>
  </si>
  <si>
    <t>['03-2018', '04-2018', '06-2018', '08-2018', '09-2018', '10-2018', '11-2018', '12-2018', '01-2019', '02-2019', '03-2019', '04-2019', '05-2019', '06-2019', '07-2019']</t>
  </si>
  <si>
    <t>[4500.0, 1655.0, 1600.0, 1650.0, 1650.0, 600.0, 950.0, 550.0, 1570.0, 1000.0, 1970.0, 700.0, 2300.0, 1650.0, 1650.0]</t>
  </si>
  <si>
    <t>ID_3BL1XIO</t>
  </si>
  <si>
    <t>['01-2020', '02-2020', '03-2020', '04-2020', '05-2020', '06-2020', '07-2020']</t>
  </si>
  <si>
    <t>[3280.0, 1200.0, 1000.0, 1140.0, 1250.0, 240.0, 1070.0]</t>
  </si>
  <si>
    <t>ID_CV8YXGE</t>
  </si>
  <si>
    <t>['03-2018', '04-2018', '06-2018', '07-2018', '09-2018', '10-2018', '05-2019']</t>
  </si>
  <si>
    <t>[8000.0, 3000.0, 2110.0, 5000.0, 3500.0, 19000.0, 1000.0]</t>
  </si>
  <si>
    <t>ID_8K8JVV7</t>
  </si>
  <si>
    <t>['03-2018', '05-2018', '06-2018', '07-2018', '08-2018', '09-2018', '10-2018', '11-2018', '12-2018', '01-2019', '02-2019', '03-2019', '04-2019', '05-2019', '06-2019', '07-2019', '08-2019', '09-2019', '10-2019', '11-2019', '12-2019', '01-2020', '02-2020', '03-2020', '04-2020']</t>
  </si>
  <si>
    <t>[8000.0, 1370.0, 3470.0, 2190.0, 2000.0, 600.0, 1300.0, 90.0, 100.0, 1400.0, 1000.0, 2630.0, 1200.0, 2050.0, 1650.0, 840.0, 685.0, 685.0, 600.0, 1600.0, 900.0, 1600.0, 2000.0, 1600.0, 2900.0]</t>
  </si>
  <si>
    <t>ID_08NOFSS</t>
  </si>
  <si>
    <t>['03-2018', '04-2018', '06-2018', '07-2018', '08-2018', '09-2018', '10-2018', '11-2018', '12-2018', '01-2019', '02-2019']</t>
  </si>
  <si>
    <t>[4150.0, 1650.0, 1650.0, 1650.0, 1650.0, 2950.0, 1650.0, 1650.0, 1650.0, 1650.0, 1000.0]</t>
  </si>
  <si>
    <t>ID_3D6IGKV</t>
  </si>
  <si>
    <t>['03-2018', '04-2018', '05-2018', '06-2018', '07-2018', '08-2018', '09-2018', '10-2018', '11-2018', '12-2018', '01-2019', '02-2019', '03-2019', '04-2019', '05-2019', '06-2019', '07-2019', '08-2019', '09-2019']</t>
  </si>
  <si>
    <t>[2600.0, 1520.0, 1550.0, 1435.0, 1160.0, 1355.0, 1125.0, 1295.0, 960.0, 310.0, 265.0, 875.0, 860.0, 1110.0, 1540.0, 1485.0, 1565.0, 1575.0, 1530.0]</t>
  </si>
  <si>
    <t>ID_A9TDJTX</t>
  </si>
  <si>
    <t>['04-2018', '05-2018', '06-2018', '08-2018', '09-2018', '10-2018', '11-2018', '12-2018', '01-2019', '02-2019', '03-2019', '04-2019', '05-2019', '06-2019', '07-2019', '08-2019', '09-2019', '10-2019', '11-2019', '12-2019', '01-2020', '02-2020']</t>
  </si>
  <si>
    <t>[3655.0, 1140.0, 385.0, 1000.0, 55.0, 275.0, 405.0, 55.0, 605.0, 330.0, 165.0, 495.0, 500.0, 495.0, 165.0, 990.0, 1650.0, 550.0, 1650.0, 1815.0, 1915.0, 1650.0]</t>
  </si>
  <si>
    <t>ID_ZWPGB4U</t>
  </si>
  <si>
    <t>[3400.0, 1700.0, 1611.0, 1300.0, 200.0, 1610.0, 1150.0, 1400.0, 1200.0, 800.0, 1250.0, 1650.0, 1600.0, 1750.0, 400.0, 1100.0, 500.0]</t>
  </si>
  <si>
    <t>ID_82T4RHW</t>
  </si>
  <si>
    <t>['02-2018', '06-2018', '07-2018', '08-2018', '09-2018', '10-2018', '11-2018', '12-2018', '01-2019', '02-2019']</t>
  </si>
  <si>
    <t>[13000.0, 2400.0, 2850.0, 2450.0, 2235.0, 2950.0, 3000.0, 2600.0, 3200.0, 2900.0]</t>
  </si>
  <si>
    <t>ID_OG0RKJX</t>
  </si>
  <si>
    <t>['03-2018', '04-2018', '05-2018', '07-2018', '08-2018', '09-2018', '10-2018', '11-2018', '12-2018', '01-2019', '03-2019']</t>
  </si>
  <si>
    <t>[2500.0, 770.0, 1980.0, 2310.0, 1650.0, 165.0, 2585.0, 990.0, 385.0, 2915.0, 2915.0]</t>
  </si>
  <si>
    <t>ID_H62UF5Z</t>
  </si>
  <si>
    <t>['04-2018', '05-2018', '06-2018', '07-2018', '08-2018', '09-2018', '10-2018', '11-2018', '12-2018', '01-2019', '02-2019', '03-2019', '04-2019', '07-2019', '08-2019', '10-2019', '11-2019', '12-2019', '02-2020', '03-2020', '04-2020', '05-2020']</t>
  </si>
  <si>
    <t>[3720.0, 100.0, 55.0, 100.0, 1298.0, 1580.0, 1330.0, 1251.0, 1416.0, 55.0, 100.0, 770.0, 215.0, 55.0, 1350.0, 175.0, 1977.0, 1090.0, 55.0, 1006.0, 2747.0, 200.0]</t>
  </si>
  <si>
    <t>ID_PY4RTC5</t>
  </si>
  <si>
    <t>['04-2018', '07-2018', '08-2018', '09-2018', '10-2018', '11-2018', '12-2018', '01-2019', '02-2019', '03-2019', '04-2019', '05-2019', '06-2019', '07-2019']</t>
  </si>
  <si>
    <t>[8000.0, 1800.0, 2000.0, 1950.0, 3800.0, 1900.0, 2850.0, 2850.0, 2850.0, 2850.0, 2850.0, 2850.0, 2850.0, 2375.0]</t>
  </si>
  <si>
    <t>ID_3MFIA1L</t>
  </si>
  <si>
    <t>['04-2018', '05-2018', '06-2018', '07-2018', '08-2018', '10-2018', '11-2018', '12-2018', '01-2019']</t>
  </si>
  <si>
    <t>[4205.0, 2365.0, 1705.0, 1705.0, 1705.0, 1705.0, 1705.0, 1705.0, 2530.0]</t>
  </si>
  <si>
    <t>ID_I54D4G0</t>
  </si>
  <si>
    <t>['03-2018', '04-2018', '05-2018', '06-2018', '07-2018', '08-2018', '09-2018', '10-2018', '11-2018', '12-2018', '01-2019', '02-2019', '03-2019']</t>
  </si>
  <si>
    <t>[4514.0, 2135.0, 1100.0, 2761.0, 55.0, 1730.0, 905.0, 1830.0, 1555.0, 1500.0, 2230.0, 800.0, 1485.0]</t>
  </si>
  <si>
    <t>ID_9EHQA8N</t>
  </si>
  <si>
    <t>['04-2018', '05-2018', '06-2018', '07-2018', '08-2018', '09-2018', '10-2018', '11-2018', '12-2018', '01-2019', '02-2019', '03-2019', '04-2019', '05-2019', '06-2019', '07-2019', '08-2019']</t>
  </si>
  <si>
    <t>[6000.0, 1865.0, 2400.0, 2650.0, 1805.0, 2895.0, 2100.0, 2570.0, 2140.0, 2300.0, 2150.0, 1985.0, 2195.0, 2050.0, 2300.0, 2399.0, 2400.0]</t>
  </si>
  <si>
    <t>ID_K3Y2DCL</t>
  </si>
  <si>
    <t>['04-2018', '05-2018', '06-2018', '08-2018', '09-2018', '10-2018', '12-2018', '02-2019', '03-2019', '04-2019', '05-2019', '06-2019', '07-2019', '08-2019', '09-2019', '10-2019', '11-2019']</t>
  </si>
  <si>
    <t>[2500.0, 2000.0, 2000.0, 2000.0, 1400.0, 1500.0, 1070.0, 860.0, 1450.0, 555.0, 750.0, 2000.0, 1500.0, 1000.0, 1745.0, 1500.0, 1000.0]</t>
  </si>
  <si>
    <t>ID_IR3KQRS</t>
  </si>
  <si>
    <t>['04-2018', '05-2018', '06-2018', '07-2018', '08-2018', '09-2018', '10-2018', '12-2018', '01-2019', '02-2019', '03-2019', '04-2019']</t>
  </si>
  <si>
    <t>[3550.0, 2530.0, 2010.0, 2000.0, 1590.0, 1400.0, 2150.0, 1500.0, 1500.0, 1500.0, 1500.0, 1000.0]</t>
  </si>
  <si>
    <t>ID_OCVU3N4</t>
  </si>
  <si>
    <t>[7400.0, 1800.0, 2300.0, 2850.0, 2350.0, 3000.0, 2500.0, 2650.0, 2850.0, 2685.0, 3050.0, 3145.0, 2300.0]</t>
  </si>
  <si>
    <t>ID_GLITQME</t>
  </si>
  <si>
    <t>['10-2017', '11-2017', '12-2017', '03-2018', '04-2018', '05-2018']</t>
  </si>
  <si>
    <t>[2000.0, 560.0, 2560.0, 1000.0, 560.0, 2400.0]</t>
  </si>
  <si>
    <t>ID_XBOY6S3</t>
  </si>
  <si>
    <t>['08-2017', '09-2017', '11-2017', '02-2018', '05-2018', '06-2018', '07-2018', '08-2018', '09-2018', '10-2018', '11-2018', '12-2018']</t>
  </si>
  <si>
    <t>[16000.0, 2000.0, 90.0, 1000.0, 700.0, 3510.0, 1350.0, 3820.0, 1450.0, 4230.0, 1430.0, 2410.0]</t>
  </si>
  <si>
    <t>ID_ZWXVSVX</t>
  </si>
  <si>
    <t>['02-2018', '03-2018', '04-2018', '07-2018', '08-2018', '09-2018', '10-2018', '11-2018', '01-2019']</t>
  </si>
  <si>
    <t>[3900.0, 1650.0, 5005.0, 1650.0, 990.0, 1980.0, 2530.0, 2530.0, 1980.0]</t>
  </si>
  <si>
    <t>ID_ERBBC9I</t>
  </si>
  <si>
    <t>['04-2018', '05-2018', '06-2018', '08-2018', '10-2018', '11-2018', '12-2018', '02-2019']</t>
  </si>
  <si>
    <t>[4150.0, 1650.0, 1650.0, 3300.0, 1650.0, 3300.0, 1650.0, 1650.0]</t>
  </si>
  <si>
    <t>ID_PHBS5W9</t>
  </si>
  <si>
    <t>['03-2018', '04-2018', '05-2018', '06-2018', '07-2018', '08-2018', '09-2018', '10-2018', '11-2018', '12-2018', '01-2019', '02-2019', '03-2019', '04-2019']</t>
  </si>
  <si>
    <t>[7030.0, 1872.0, 2982.0, 3090.0, 2600.0, 2050.0, 2860.0, 3700.0, 1800.0, 2800.0, 3530.0, 2300.0, 2400.0, 3000.0]</t>
  </si>
  <si>
    <t>ID_U5JR8RH</t>
  </si>
  <si>
    <t>['03-2018', '04-2018', '06-2018', '07-2018', '09-2018', '10-2018', '11-2018', '12-2018']</t>
  </si>
  <si>
    <t>[4649.0, 2475.0, 2000.0, 1000.0, 1400.0, 500.0, 1200.0, 1650.0]</t>
  </si>
  <si>
    <t>ID_4K3X72P</t>
  </si>
  <si>
    <t>['03-2018', '04-2018', '05-2018', '06-2018', '07-2018', '08-2018']</t>
  </si>
  <si>
    <t>[4055.0, 1400.0, 1100.0, 1969.0, 1650.0, 1650.0]</t>
  </si>
  <si>
    <t>ID_OX0313B</t>
  </si>
  <si>
    <t>[4100.0, 564.0, 650.0, 986.0, 1500.0]</t>
  </si>
  <si>
    <t>ID_91A222W</t>
  </si>
  <si>
    <t>['04-2018', '05-2018', '06-2018', '07-2018', '08-2018', '09-2018', '10-2018', '11-2018', '12-2018', '01-2019', '02-2019', '03-2019', '04-2019', '05-2019', '06-2019', '07-2019', '08-2019', '09-2019', '10-2019', '11-2019', '12-2019', '01-2020', '02-2020']</t>
  </si>
  <si>
    <t>[2950.0, 1830.0, 450.0, 800.0, 400.0, 200.0, 450.0, 200.0, 600.0, 150.0, 330.0, 150.0, 500.0, 750.0, 600.0, 350.0, 600.0, 1900.0, 1250.0, 1000.0, 1400.0, 1450.0, 4660.0]</t>
  </si>
  <si>
    <t>ID_BP98YVX</t>
  </si>
  <si>
    <t>['04-2018', '07-2018', '09-2018', '10-2018', '11-2018', '01-2019', '02-2019', '03-2019', '05-2019', '06-2019', '07-2019', '08-2019', '10-2019', '11-2019', '12-2019', '01-2020', '02-2020']</t>
  </si>
  <si>
    <t>[4500.0, 3000.0, 750.0, 500.0, 800.0, 350.0, 400.0, 1177.0, 1700.0, 1200.0, 1500.0, 1500.0, 1200.0, 1400.0, 1110.0, 1820.0, 200.0]</t>
  </si>
  <si>
    <t>ID_3IDW1IN</t>
  </si>
  <si>
    <t>['03-2018', '04-2018', '06-2018', '07-2018', '08-2018', '09-2018', '11-2018', '12-2018', '03-2019', '04-2019', '05-2019']</t>
  </si>
  <si>
    <t>[13500.0, 3105.0, 2000.0, 100.0, 5300.0, 5000.0, 3300.0, 5000.0, 3000.0, 1300.0, 2700.0]</t>
  </si>
  <si>
    <t>ID_SBREH4T</t>
  </si>
  <si>
    <t>['03-2018', '04-2018', '05-2018', '07-2018', '09-2018', '11-2018', '12-2018', '01-2019']</t>
  </si>
  <si>
    <t>[4000.0, 3500.0, 3000.0, 2000.0, 2900.0, 3000.0, 1000.0, 2500.0]</t>
  </si>
  <si>
    <t>ID_SGE2B02</t>
  </si>
  <si>
    <t>['03-2018', '04-2018', '06-2018', '07-2018', '08-2018', '09-2018', '10-2018', '12-2018', '01-2019', '02-2019', '04-2019', '05-2019']</t>
  </si>
  <si>
    <t>[2500.0, 3780.0, 2000.0, 1000.0, 1500.0, 1700.0, 2500.0, 1900.0, 1000.0, 2180.0, 2150.0, 750.0]</t>
  </si>
  <si>
    <t>ID_T9XOZ59</t>
  </si>
  <si>
    <t>['01-2018', '02-2018', '04-2018', '06-2018', '08-2018']</t>
  </si>
  <si>
    <t>[2999.0, 4950.0, 1650.0, 3300.0, 3200.0]</t>
  </si>
  <si>
    <t>ID_T1DDCH5</t>
  </si>
  <si>
    <t>['02-2018', '03-2018', '06-2018', '08-2018', '09-2018', '10-2018', '11-2018', '12-2018', '01-2019', '02-2019', '03-2019']</t>
  </si>
  <si>
    <t>[6500.0, 10000.0, 6000.0, 1500.0, 2700.0, 3500.0, 1900.0, 2700.0, 3400.0, 1900.0, 3000.0]</t>
  </si>
  <si>
    <t>ID_X5ASL5L</t>
  </si>
  <si>
    <t>['02-2020', '03-2020', '04-2020', '05-2020', '06-2020']</t>
  </si>
  <si>
    <t>[2800.0, 1520.0, 1500.0, 1500.0, 900.0]</t>
  </si>
  <si>
    <t>ID_MINLIM6</t>
  </si>
  <si>
    <t>['02-2018', '03-2018', '04-2018', '05-2018', '06-2018', '07-2018', '08-2018', '09-2018', '10-2018', '11-2018', '12-2018', '01-2019', '02-2019', '03-2019', '04-2019', '05-2019', '06-2019', '07-2019', '08-2019', '09-2019', '10-2019', '11-2019', '12-2019', '01-2020', '02-2020', '03-2020', '04-2020', '05-2020', '06-2020', '07-2020', '08-2020', '09-2020', '10-2020', '11-2020']</t>
  </si>
  <si>
    <t>[6500.0, 1340.0, 1890.0, 1790.0, 1375.0, 1800.0, 1555.0, 1615.0, 1220.0, 1855.0, 1555.0, 1070.0, 940.0, 570.0, 950.0, 475.0, 475.0, 575.0, 1330.0, 280.0, 380.0, 475.0, 190.0, 285.0, 300.0, 385.0, 245.0, 645.0, 890.0, 1430.0, 485.0, 770.0, 1560.0, 2450.0]</t>
  </si>
  <si>
    <t>ID_5JBU3P4</t>
  </si>
  <si>
    <t>['02-2018', '03-2018', '04-2018', '05-2018', '07-2018', '08-2018', '11-2018', '12-2018', '02-2019', '03-2019', '04-2019', '05-2019', '06-2019', '07-2019', '08-2019', '09-2019', '10-2019', '11-2019', '02-2020', '03-2020', '04-2020', '05-2020', '06-2020', '07-2020', '08-2020', '09-2020', '10-2020', '11-2020']</t>
  </si>
  <si>
    <t>[2999.0, 105.0, 385.0, 220.0, 55.0, 55.0, 55.0, 55.0, 110.0, 385.0, 165.0, 210.0, 55.0, 55.0, 125.0, 55.0, 15.0, 55.0, 3000.0, 110.0, 460.0, 165.0, 500.0, 610.0, 440.0, 440.0, 440.0, 55.0]</t>
  </si>
  <si>
    <t>ID_P0P6WE8</t>
  </si>
  <si>
    <t>['03-2018', '04-2018', '05-2018', '06-2018', '07-2018', '08-2018', '09-2018', '10-2018', '11-2018', '12-2018', '01-2019', '02-2019', '03-2019', '04-2019', '05-2019', '06-2019', '07-2019', '08-2019', '09-2019', '10-2019', '11-2019', '12-2019', '01-2020', '02-2020', '03-2020', '04-2020', '05-2020', '06-2020', '07-2020', '08-2020', '09-2020', '10-2020']</t>
  </si>
  <si>
    <t>[3000.0, 825.0, 615.0, 440.0, 325.0, 275.0, 365.0, 330.0, 330.0, 375.0, 465.0, 510.0, 615.0, 380.0, 370.0, 320.0, 275.0, 660.0, 388.0, 220.0, 330.0, 275.0, 315.0, 390.0, 480.0, 320.0, 585.0, 265.0, 336.0, 330.0, 220.0, 275.0]</t>
  </si>
  <si>
    <t>ID_OXL2VBV</t>
  </si>
  <si>
    <t>['04-2018', '05-2018', '06-2018', '07-2018', '08-2018', '09-2018', '10-2018', '12-2018', '01-2019', '02-2019', '03-2019', '04-2019', '05-2019', '06-2019', '07-2019', '08-2019', '09-2019']</t>
  </si>
  <si>
    <t>[8000.0, 950.0, 2850.0, 2850.0, 2850.0, 2850.0, 2375.0, 100.0, 2850.0, 2850.0, 1900.0, 2280.0, 2850.0, 2185.0, 3620.0, 950.0, 2850.0]</t>
  </si>
  <si>
    <t>ID_SH3XYMO</t>
  </si>
  <si>
    <t>['01-2018', '02-2018', '03-2018', '04-2018', '05-2018', '06-2018']</t>
  </si>
  <si>
    <t>[7735.0, 2375.0, 1425.0, 5035.0, 4085.0, 3040.0]</t>
  </si>
  <si>
    <t>ID_K5N1RC2</t>
  </si>
  <si>
    <t>['04-2018', '05-2018', '07-2018', '08-2018', '10-2018', '11-2018']</t>
  </si>
  <si>
    <t>[4110.0, 3970.0, 2200.0, 2200.0, 1650.0, 4400.0]</t>
  </si>
  <si>
    <t>ID_1GMH4R4</t>
  </si>
  <si>
    <t>['01-2018', '03-2018', '04-2018', '05-2018', '07-2018', '08-2018', '09-2018', '10-2018', '11-2018', '12-2018', '01-2019', '02-2019', '03-2019', '04-2019', '05-2019']</t>
  </si>
  <si>
    <t>[5000.0, 500.0, 1950.0, 1400.0, 2050.0, 750.0, 1035.0, 1800.0, 1670.0, 1375.0, 1430.0, 2090.0, 770.0, 1650.0, 1540.0]</t>
  </si>
  <si>
    <t>ID_CO0CTD7</t>
  </si>
  <si>
    <t>['02-2018', '03-2018', '04-2018', '05-2018', '06-2018', '07-2018', '09-2018', '10-2018', '11-2018', '12-2018', '01-2019', '03-2019', '04-2019']</t>
  </si>
  <si>
    <t>[6500.0, 1850.0, 1300.0, 1200.0, 2000.0, 6200.0, 2800.0, 3000.0, 2600.0, 3113.0, 4100.0, 3600.0, 2500.0]</t>
  </si>
  <si>
    <t>ID_4W3LDTP</t>
  </si>
  <si>
    <t>['03-2018', '04-2018', '05-2018', '06-2018', '07-2018', '08-2018', '09-2018', '10-2018', '11-2018', '12-2018', '01-2019', '03-2019', '04-2019', '05-2019', '06-2019', '07-2019']</t>
  </si>
  <si>
    <t>[58919.0, 1920.0, 2000.0, 2500.0, 2000.0, 2200.0, 4000.0, 1000.0, 3000.0, 1000.0, 4000.0, 2500.0, 2250.0, 2900.0, 2500.0, 2500.0]</t>
  </si>
  <si>
    <t>ID_34AK23A</t>
  </si>
  <si>
    <t>[8500.0, 1000.0, 3064.0, 3100.0, 2100.0, 2900.0, 2900.0, 2900.0, 2700.0, 3000.0, 3000.0, 2600.0, 2300.0]</t>
  </si>
  <si>
    <t>ID_VH29EWM</t>
  </si>
  <si>
    <t>[6000.0, 2000.0, 2800.0, 2800.0, 2800.0, 3000.0, 2700.0, 2500.0, 2700.0, 3300.0, 2300.0, 2700.0, 3300.0, 2500.0]</t>
  </si>
  <si>
    <t>Metric/ Insight</t>
  </si>
  <si>
    <t>Value</t>
  </si>
  <si>
    <t>Notes/Interpretation</t>
  </si>
  <si>
    <t>Correlation: Past Total Paid → Future Repaid</t>
  </si>
  <si>
    <t>Customers who paid more historically tend to repay more in the future, but it’s not extremely strong</t>
  </si>
  <si>
    <t>Correlation: Past Avg Payment → Future Repaid</t>
  </si>
  <si>
    <t>Average historical payment size is a much better predictor of future repayment strength than total past paid alone.</t>
  </si>
  <si>
    <t>Avg Future Repaid (High Bucket)</t>
  </si>
  <si>
    <t>Top ~25% repayers paid ~7.3k on average in next 6 months — solid cash flow contributors.</t>
  </si>
  <si>
    <t>Avg Future Repaid (Low Bucket)</t>
  </si>
  <si>
    <t>Bottom ~25% repayers paid only ~2.2k on average — ~3.3× less than High bucket → clear risk segment.</t>
  </si>
  <si>
    <t>Avg Past Avg Payment (High bucket)</t>
  </si>
  <si>
    <t>Top repayers had much larger average payments historically (~$1,367 per period).</t>
  </si>
  <si>
    <t>Avg Past Avg Payment (Low bucket)</t>
  </si>
  <si>
    <t>Bottom repayers had ~$774 avg per period — ~1.77× smaller than High bucket.</t>
  </si>
  <si>
    <t>% Customers in High bucket</t>
  </si>
  <si>
    <t>Roughly as designed.</t>
  </si>
  <si>
    <t>% Customers in Low bucket</t>
  </si>
  <si>
    <t>Slightly higher than expected</t>
  </si>
  <si>
    <t>Overall Avg Total Past Paid</t>
  </si>
  <si>
    <t>Benchmark: average customer paid ~15k historically before snapshot.</t>
  </si>
  <si>
    <t>Overall Avg Past Avg Payment</t>
  </si>
  <si>
    <t>Benchmark: typical average payment per historical period ~$1,070.</t>
  </si>
  <si>
    <t>Strongest Insight: Past average payment size strongly predicts future repayment strength → actionable for customer segmentation and risk reduction.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</si>
</sst>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$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2" xfId="0" applyFont="1" applyNumberFormat="1"/>
    <xf borderId="0" fillId="0" fontId="1" numFmtId="0" xfId="0" applyAlignment="1" applyFont="1">
      <alignment readingOrder="0" shrinkToFit="0" wrapText="1"/>
    </xf>
    <xf borderId="0" fillId="0" fontId="1" numFmtId="10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3" max="3" width="36.75"/>
    <col customWidth="1" min="10" max="10" width="19.5"/>
    <col customWidth="1" min="11" max="11" width="26.0"/>
    <col customWidth="1" min="12" max="12" width="13.13"/>
    <col customWidth="1" min="13" max="13" width="19.25"/>
    <col customWidth="1" min="14" max="14" width="20.5"/>
    <col customWidth="1" min="15" max="15" width="18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</row>
    <row r="2">
      <c r="A2" s="1" t="s">
        <v>17</v>
      </c>
      <c r="B2" s="2" t="s">
        <v>18</v>
      </c>
      <c r="C2" s="1" t="s">
        <v>19</v>
      </c>
      <c r="D2" s="3">
        <v>33890.0</v>
      </c>
      <c r="E2" s="3">
        <v>900.0</v>
      </c>
      <c r="F2" s="3">
        <v>1565.0</v>
      </c>
      <c r="G2" s="3">
        <v>1705.0</v>
      </c>
      <c r="H2" s="3">
        <v>2015.0</v>
      </c>
      <c r="I2" s="3">
        <v>725.0</v>
      </c>
      <c r="J2" s="7">
        <f t="shared" ref="J2:J100" si="1">SUM(D2:I2)</f>
        <v>40800</v>
      </c>
      <c r="K2" s="8" t="str">
        <f t="shared" ref="K2:K100" si="2">IFS(
  J2 &lt;= 2000,   "Low (&lt;=2,000$ – Bottom ~25%)",
  J2 &lt;= 4750,   "Medium-Low (2,001–4,750$)",
  J2 &lt;= 6630,   "Medium-High (4,751–6,630$ – Top 50–75%)",
  TRUE,         "High (&gt;6,630$ – Top ~25%)"
)</f>
        <v>High (&gt;6,630$ – Top ~25%)</v>
      </c>
      <c r="L2" s="8" t="str">
        <f t="shared" ref="L2:L100" si="3">IF(J2=0, "Default / High Risk", "Paid Something")</f>
        <v>Paid Something</v>
      </c>
      <c r="M2" s="8">
        <f t="shared" ref="M2:M100" si="4">IF(C2="", 0, LEN(C2) - LEN(SUBSTITUTE(C2, ",", "")) + 1)</f>
        <v>25</v>
      </c>
      <c r="N2" s="8">
        <f>IFERROR(__xludf.DUMMYFUNCTION("IF(C2="""", 0, SUM(ARRAYFORMULA(IF(SPLIT(C2, "","")=""0"", 1, 0))))"),0.0)</f>
        <v>0</v>
      </c>
      <c r="O2" s="8" t="str">
        <f t="shared" ref="O2:O100" si="5">IF(C2="", "No History",
  IF(ISNUMBER(SEARCH(",0.0,", ","&amp;C2&amp;",")) + ISNUMBER(SEARCH(",0.0]", ","&amp;C2&amp;"]")) &gt; 0, "Yes", "No"))</f>
        <v>No</v>
      </c>
      <c r="P2" s="7">
        <f>IFERROR(__xludf.DUMMYFUNCTION("IF(C2="""", 0,
  SUM(
    ARRAYFORMULA(
      IFERROR(
        VALUE(REGEXREPLACE(TRIM(SPLIT(REGEXREPLACE(C2, ""[\[\]]"", """"), "","")), ""[^0-9.]"", """")),
        0
      )
    )
  )
)"),23685.0)</f>
        <v>23685</v>
      </c>
      <c r="Q2" s="7">
        <f t="shared" ref="Q2:Q100" si="6">IF(M2=0, 0, P2/M2)</f>
        <v>947.4</v>
      </c>
    </row>
    <row r="3">
      <c r="A3" s="1" t="s">
        <v>20</v>
      </c>
      <c r="B3" s="2" t="s">
        <v>21</v>
      </c>
      <c r="C3" s="1" t="s">
        <v>22</v>
      </c>
      <c r="D3" s="3">
        <v>33438.0</v>
      </c>
      <c r="E3" s="3">
        <v>1540.0</v>
      </c>
      <c r="F3" s="3">
        <v>1420.0</v>
      </c>
      <c r="G3" s="3">
        <v>1595.0</v>
      </c>
      <c r="H3" s="3">
        <v>1375.0</v>
      </c>
      <c r="I3" s="3">
        <v>1805.0</v>
      </c>
      <c r="J3" s="7">
        <f t="shared" si="1"/>
        <v>41173</v>
      </c>
      <c r="K3" s="8" t="str">
        <f t="shared" si="2"/>
        <v>High (&gt;6,630$ – Top ~25%)</v>
      </c>
      <c r="L3" s="8" t="str">
        <f t="shared" si="3"/>
        <v>Paid Something</v>
      </c>
      <c r="M3" s="8">
        <f t="shared" si="4"/>
        <v>12</v>
      </c>
      <c r="N3" s="8">
        <f>IFERROR(__xludf.DUMMYFUNCTION("IF(C3="""", 0, SUM(ARRAYFORMULA(IF(SPLIT(C3, "","")=""0"", 1, 0))))"),0.0)</f>
        <v>0</v>
      </c>
      <c r="O3" s="8" t="str">
        <f t="shared" si="5"/>
        <v>No</v>
      </c>
      <c r="P3" s="7">
        <f>IFERROR(__xludf.DUMMYFUNCTION("IF(C3="""", 0,
  SUM(
    ARRAYFORMULA(
      IFERROR(
        VALUE(REGEXREPLACE(TRIM(SPLIT(REGEXREPLACE(C3, ""[\[\]]"", """"), "","")), ""[^0-9.]"", """")),
        0
      )
    )
  )
)"),23255.0)</f>
        <v>23255</v>
      </c>
      <c r="Q3" s="7">
        <f t="shared" si="6"/>
        <v>1937.916667</v>
      </c>
    </row>
    <row r="4">
      <c r="A4" s="1" t="s">
        <v>23</v>
      </c>
      <c r="B4" s="2" t="s">
        <v>24</v>
      </c>
      <c r="C4" s="1" t="s">
        <v>25</v>
      </c>
      <c r="D4" s="3">
        <v>25980.0</v>
      </c>
      <c r="E4" s="3">
        <v>950.0</v>
      </c>
      <c r="F4" s="3">
        <v>1055.0</v>
      </c>
      <c r="G4" s="3">
        <v>1700.0</v>
      </c>
      <c r="H4" s="3">
        <v>1400.0</v>
      </c>
      <c r="I4" s="3">
        <v>1500.0</v>
      </c>
      <c r="J4" s="7">
        <f t="shared" si="1"/>
        <v>32585</v>
      </c>
      <c r="K4" s="8" t="str">
        <f t="shared" si="2"/>
        <v>High (&gt;6,630$ – Top ~25%)</v>
      </c>
      <c r="L4" s="8" t="str">
        <f t="shared" si="3"/>
        <v>Paid Something</v>
      </c>
      <c r="M4" s="8">
        <f t="shared" si="4"/>
        <v>32</v>
      </c>
      <c r="N4" s="8">
        <f>IFERROR(__xludf.DUMMYFUNCTION("IF(C4="""", 0, SUM(ARRAYFORMULA(IF(SPLIT(C4, "","")=""0"", 1, 0))))"),0.0)</f>
        <v>0</v>
      </c>
      <c r="O4" s="8" t="str">
        <f t="shared" si="5"/>
        <v>No</v>
      </c>
      <c r="P4" s="7">
        <f>IFERROR(__xludf.DUMMYFUNCTION("IF(C4="""", 0,
  SUM(
    ARRAYFORMULA(
      IFERROR(
        VALUE(REGEXREPLACE(TRIM(SPLIT(REGEXREPLACE(C4, ""[\[\]]"", """"), "","")), ""[^0-9.]"", """")),
        0
      )
    )
  )
)"),37465.0)</f>
        <v>37465</v>
      </c>
      <c r="Q4" s="7">
        <f t="shared" si="6"/>
        <v>1170.78125</v>
      </c>
    </row>
    <row r="5">
      <c r="A5" s="1" t="s">
        <v>26</v>
      </c>
      <c r="B5" s="2" t="s">
        <v>27</v>
      </c>
      <c r="C5" s="1" t="s">
        <v>28</v>
      </c>
      <c r="D5" s="3">
        <v>12600.0</v>
      </c>
      <c r="E5" s="3">
        <v>9360.0</v>
      </c>
      <c r="F5" s="3">
        <v>950.0</v>
      </c>
      <c r="G5" s="3">
        <v>2970.0</v>
      </c>
      <c r="H5" s="3">
        <v>30450.0</v>
      </c>
      <c r="I5" s="3">
        <v>4800.0</v>
      </c>
      <c r="J5" s="7">
        <f t="shared" si="1"/>
        <v>61130</v>
      </c>
      <c r="K5" s="8" t="str">
        <f t="shared" si="2"/>
        <v>High (&gt;6,630$ – Top ~25%)</v>
      </c>
      <c r="L5" s="8" t="str">
        <f t="shared" si="3"/>
        <v>Paid Something</v>
      </c>
      <c r="M5" s="8">
        <f t="shared" si="4"/>
        <v>10</v>
      </c>
      <c r="N5" s="8">
        <f>IFERROR(__xludf.DUMMYFUNCTION("IF(C5="""", 0, SUM(ARRAYFORMULA(IF(SPLIT(C5, "","")=""0"", 1, 0))))"),0.0)</f>
        <v>0</v>
      </c>
      <c r="O5" s="8" t="str">
        <f t="shared" si="5"/>
        <v>No</v>
      </c>
      <c r="P5" s="7">
        <f>IFERROR(__xludf.DUMMYFUNCTION("IF(C5="""", 0,
  SUM(
    ARRAYFORMULA(
      IFERROR(
        VALUE(REGEXREPLACE(TRIM(SPLIT(REGEXREPLACE(C5, ""[\[\]]"", """"), "","")), ""[^0-9.]"", """")),
        0
      )
    )
  )
)"),40630.0)</f>
        <v>40630</v>
      </c>
      <c r="Q5" s="7">
        <f t="shared" si="6"/>
        <v>4063</v>
      </c>
    </row>
    <row r="6">
      <c r="A6" s="1" t="s">
        <v>29</v>
      </c>
      <c r="B6" s="2" t="s">
        <v>30</v>
      </c>
      <c r="C6" s="1" t="s">
        <v>31</v>
      </c>
      <c r="D6" s="3">
        <v>9950.0</v>
      </c>
      <c r="E6" s="3">
        <v>605.0</v>
      </c>
      <c r="F6" s="3">
        <v>605.0</v>
      </c>
      <c r="G6" s="3">
        <v>535.0</v>
      </c>
      <c r="H6" s="3">
        <v>585.0</v>
      </c>
      <c r="I6" s="3">
        <v>305.0</v>
      </c>
      <c r="J6" s="7">
        <f t="shared" si="1"/>
        <v>12585</v>
      </c>
      <c r="K6" s="8" t="str">
        <f t="shared" si="2"/>
        <v>High (&gt;6,630$ – Top ~25%)</v>
      </c>
      <c r="L6" s="8" t="str">
        <f t="shared" si="3"/>
        <v>Paid Something</v>
      </c>
      <c r="M6" s="8">
        <f t="shared" si="4"/>
        <v>18</v>
      </c>
      <c r="N6" s="8">
        <f>IFERROR(__xludf.DUMMYFUNCTION("IF(C6="""", 0, SUM(ARRAYFORMULA(IF(SPLIT(C6, "","")=""0"", 1, 0))))"),0.0)</f>
        <v>0</v>
      </c>
      <c r="O6" s="8" t="str">
        <f t="shared" si="5"/>
        <v>No</v>
      </c>
      <c r="P6" s="7">
        <f>IFERROR(__xludf.DUMMYFUNCTION("IF(C6="""", 0,
  SUM(
    ARRAYFORMULA(
      IFERROR(
        VALUE(REGEXREPLACE(TRIM(SPLIT(REGEXREPLACE(C6, ""[\[\]]"", """"), "","")), ""[^0-9.]"", """")),
        0
      )
    )
  )
)"),20495.0)</f>
        <v>20495</v>
      </c>
      <c r="Q6" s="7">
        <f t="shared" si="6"/>
        <v>1138.611111</v>
      </c>
    </row>
    <row r="7">
      <c r="A7" s="1" t="s">
        <v>32</v>
      </c>
      <c r="B7" s="2" t="s">
        <v>33</v>
      </c>
      <c r="C7" s="1" t="s">
        <v>34</v>
      </c>
      <c r="D7" s="3">
        <v>8760.0</v>
      </c>
      <c r="E7" s="3">
        <v>255.0</v>
      </c>
      <c r="F7" s="3">
        <v>1100.0</v>
      </c>
      <c r="G7" s="3">
        <v>1205.0</v>
      </c>
      <c r="H7" s="3">
        <v>1270.0</v>
      </c>
      <c r="I7" s="3">
        <v>1070.0</v>
      </c>
      <c r="J7" s="7">
        <f t="shared" si="1"/>
        <v>13660</v>
      </c>
      <c r="K7" s="8" t="str">
        <f t="shared" si="2"/>
        <v>High (&gt;6,630$ – Top ~25%)</v>
      </c>
      <c r="L7" s="8" t="str">
        <f t="shared" si="3"/>
        <v>Paid Something</v>
      </c>
      <c r="M7" s="8">
        <f t="shared" si="4"/>
        <v>10</v>
      </c>
      <c r="N7" s="8">
        <f>IFERROR(__xludf.DUMMYFUNCTION("IF(C7="""", 0, SUM(ARRAYFORMULA(IF(SPLIT(C7, "","")=""0"", 1, 0))))"),0.0)</f>
        <v>0</v>
      </c>
      <c r="O7" s="8" t="str">
        <f t="shared" si="5"/>
        <v>No</v>
      </c>
      <c r="P7" s="7">
        <f>IFERROR(__xludf.DUMMYFUNCTION("IF(C7="""", 0,
  SUM(
    ARRAYFORMULA(
      IFERROR(
        VALUE(REGEXREPLACE(TRIM(SPLIT(REGEXREPLACE(C7, ""[\[\]]"", """"), "","")), ""[^0-9.]"", """")),
        0
      )
    )
  )
)"),19424.0)</f>
        <v>19424</v>
      </c>
      <c r="Q7" s="7">
        <f t="shared" si="6"/>
        <v>1942.4</v>
      </c>
    </row>
    <row r="8">
      <c r="A8" s="1" t="s">
        <v>35</v>
      </c>
      <c r="B8" s="2" t="s">
        <v>36</v>
      </c>
      <c r="C8" s="1" t="s">
        <v>37</v>
      </c>
      <c r="D8" s="3">
        <v>8550.0</v>
      </c>
      <c r="E8" s="3">
        <v>1200.0</v>
      </c>
      <c r="F8" s="3">
        <v>1490.0</v>
      </c>
      <c r="G8" s="3">
        <v>1347.0</v>
      </c>
      <c r="H8" s="3">
        <v>863.0</v>
      </c>
      <c r="I8" s="3">
        <v>1050.0</v>
      </c>
      <c r="J8" s="7">
        <f t="shared" si="1"/>
        <v>14500</v>
      </c>
      <c r="K8" s="8" t="str">
        <f t="shared" si="2"/>
        <v>High (&gt;6,630$ – Top ~25%)</v>
      </c>
      <c r="L8" s="8" t="str">
        <f t="shared" si="3"/>
        <v>Paid Something</v>
      </c>
      <c r="M8" s="8">
        <f t="shared" si="4"/>
        <v>10</v>
      </c>
      <c r="N8" s="8">
        <f>IFERROR(__xludf.DUMMYFUNCTION("IF(C8="""", 0, SUM(ARRAYFORMULA(IF(SPLIT(C8, "","")=""0"", 1, 0))))"),0.0)</f>
        <v>0</v>
      </c>
      <c r="O8" s="8" t="str">
        <f t="shared" si="5"/>
        <v>No</v>
      </c>
      <c r="P8" s="7">
        <f>IFERROR(__xludf.DUMMYFUNCTION("IF(C8="""", 0,
  SUM(
    ARRAYFORMULA(
      IFERROR(
        VALUE(REGEXREPLACE(TRIM(SPLIT(REGEXREPLACE(C8, ""[\[\]]"", """"), "","")), ""[^0-9.]"", """")),
        0
      )
    )
  )
)"),18580.0)</f>
        <v>18580</v>
      </c>
      <c r="Q8" s="7">
        <f t="shared" si="6"/>
        <v>1858</v>
      </c>
    </row>
    <row r="9">
      <c r="A9" s="1" t="s">
        <v>38</v>
      </c>
      <c r="B9" s="2" t="s">
        <v>39</v>
      </c>
      <c r="C9" s="1" t="s">
        <v>40</v>
      </c>
      <c r="D9" s="3">
        <v>8100.0</v>
      </c>
      <c r="E9" s="3">
        <v>1310.0</v>
      </c>
      <c r="F9" s="3">
        <v>1365.0</v>
      </c>
      <c r="G9" s="3">
        <v>1810.0</v>
      </c>
      <c r="H9" s="3">
        <v>1215.0</v>
      </c>
      <c r="I9" s="3">
        <v>1585.0</v>
      </c>
      <c r="J9" s="7">
        <f t="shared" si="1"/>
        <v>15385</v>
      </c>
      <c r="K9" s="8" t="str">
        <f t="shared" si="2"/>
        <v>High (&gt;6,630$ – Top ~25%)</v>
      </c>
      <c r="L9" s="8" t="str">
        <f t="shared" si="3"/>
        <v>Paid Something</v>
      </c>
      <c r="M9" s="8">
        <f t="shared" si="4"/>
        <v>10</v>
      </c>
      <c r="N9" s="8">
        <f>IFERROR(__xludf.DUMMYFUNCTION("IF(C9="""", 0, SUM(ARRAYFORMULA(IF(SPLIT(C9, "","")=""0"", 1, 0))))"),0.0)</f>
        <v>0</v>
      </c>
      <c r="O9" s="8" t="str">
        <f t="shared" si="5"/>
        <v>No</v>
      </c>
      <c r="P9" s="7">
        <f>IFERROR(__xludf.DUMMYFUNCTION("IF(C9="""", 0,
  SUM(
    ARRAYFORMULA(
      IFERROR(
        VALUE(REGEXREPLACE(TRIM(SPLIT(REGEXREPLACE(C9, ""[\[\]]"", """"), "","")), ""[^0-9.]"", """")),
        0
      )
    )
  )
)"),17645.0)</f>
        <v>17645</v>
      </c>
      <c r="Q9" s="7">
        <f t="shared" si="6"/>
        <v>1764.5</v>
      </c>
    </row>
    <row r="10">
      <c r="A10" s="1" t="s">
        <v>41</v>
      </c>
      <c r="B10" s="2" t="s">
        <v>42</v>
      </c>
      <c r="C10" s="1" t="s">
        <v>43</v>
      </c>
      <c r="D10" s="3">
        <v>7800.0</v>
      </c>
      <c r="E10" s="3">
        <v>5000.0</v>
      </c>
      <c r="F10" s="3">
        <v>5000.0</v>
      </c>
      <c r="G10" s="3">
        <v>3000.0</v>
      </c>
      <c r="H10" s="3">
        <v>3000.0</v>
      </c>
      <c r="I10" s="3">
        <v>2514.0</v>
      </c>
      <c r="J10" s="7">
        <f t="shared" si="1"/>
        <v>26314</v>
      </c>
      <c r="K10" s="8" t="str">
        <f t="shared" si="2"/>
        <v>High (&gt;6,630$ – Top ~25%)</v>
      </c>
      <c r="L10" s="8" t="str">
        <f t="shared" si="3"/>
        <v>Paid Something</v>
      </c>
      <c r="M10" s="8">
        <f t="shared" si="4"/>
        <v>6</v>
      </c>
      <c r="N10" s="8">
        <f>IFERROR(__xludf.DUMMYFUNCTION("IF(C10="""", 0, SUM(ARRAYFORMULA(IF(SPLIT(C10, "","")=""0"", 1, 0))))"),0.0)</f>
        <v>0</v>
      </c>
      <c r="O10" s="8" t="str">
        <f t="shared" si="5"/>
        <v>No</v>
      </c>
      <c r="P10" s="7">
        <f>IFERROR(__xludf.DUMMYFUNCTION("IF(C10="""", 0,
  SUM(
    ARRAYFORMULA(
      IFERROR(
        VALUE(REGEXREPLACE(TRIM(SPLIT(REGEXREPLACE(C10, ""[\[\]]"", """"), "","")), ""[^0-9.]"", """")),
        0
      )
    )
  )
)"),30650.0)</f>
        <v>30650</v>
      </c>
      <c r="Q10" s="7">
        <f t="shared" si="6"/>
        <v>5108.333333</v>
      </c>
    </row>
    <row r="11">
      <c r="A11" s="1" t="s">
        <v>44</v>
      </c>
      <c r="B11" s="2" t="s">
        <v>45</v>
      </c>
      <c r="C11" s="1" t="s">
        <v>46</v>
      </c>
      <c r="D11" s="3">
        <v>6650.0</v>
      </c>
      <c r="E11" s="3">
        <v>4950.0</v>
      </c>
      <c r="F11" s="3">
        <v>1100.0</v>
      </c>
      <c r="G11" s="3">
        <v>2100.0</v>
      </c>
      <c r="H11" s="3">
        <v>2149.0</v>
      </c>
      <c r="I11" s="3">
        <v>1000.0</v>
      </c>
      <c r="J11" s="7">
        <f t="shared" si="1"/>
        <v>17949</v>
      </c>
      <c r="K11" s="8" t="str">
        <f t="shared" si="2"/>
        <v>High (&gt;6,630$ – Top ~25%)</v>
      </c>
      <c r="L11" s="8" t="str">
        <f t="shared" si="3"/>
        <v>Paid Something</v>
      </c>
      <c r="M11" s="8">
        <f t="shared" si="4"/>
        <v>5</v>
      </c>
      <c r="N11" s="8">
        <f>IFERROR(__xludf.DUMMYFUNCTION("IF(C11="""", 0, SUM(ARRAYFORMULA(IF(SPLIT(C11, "","")=""0"", 1, 0))))"),0.0)</f>
        <v>0</v>
      </c>
      <c r="O11" s="8" t="str">
        <f t="shared" si="5"/>
        <v>No</v>
      </c>
      <c r="P11" s="7">
        <f>IFERROR(__xludf.DUMMYFUNCTION("IF(C11="""", 0,
  SUM(
    ARRAYFORMULA(
      IFERROR(
        VALUE(REGEXREPLACE(TRIM(SPLIT(REGEXREPLACE(C11, ""[\[\]]"", """"), "","")), ""[^0-9.]"", """")),
        0
      )
    )
  )
)"),15135.0)</f>
        <v>15135</v>
      </c>
      <c r="Q11" s="7">
        <f t="shared" si="6"/>
        <v>3027</v>
      </c>
    </row>
    <row r="12">
      <c r="A12" s="1" t="s">
        <v>47</v>
      </c>
      <c r="B12" s="2" t="s">
        <v>48</v>
      </c>
      <c r="C12" s="1" t="s">
        <v>49</v>
      </c>
      <c r="D12" s="3">
        <v>6000.0</v>
      </c>
      <c r="E12" s="3">
        <v>2400.0</v>
      </c>
      <c r="F12" s="3">
        <v>1055.0</v>
      </c>
      <c r="G12" s="3">
        <v>3900.0</v>
      </c>
      <c r="H12" s="3">
        <v>1500.0</v>
      </c>
      <c r="I12" s="3">
        <v>1109.0</v>
      </c>
      <c r="J12" s="7">
        <f t="shared" si="1"/>
        <v>15964</v>
      </c>
      <c r="K12" s="8" t="str">
        <f t="shared" si="2"/>
        <v>High (&gt;6,630$ – Top ~25%)</v>
      </c>
      <c r="L12" s="8" t="str">
        <f t="shared" si="3"/>
        <v>Paid Something</v>
      </c>
      <c r="M12" s="8">
        <f t="shared" si="4"/>
        <v>6</v>
      </c>
      <c r="N12" s="8">
        <f>IFERROR(__xludf.DUMMYFUNCTION("IF(C12="""", 0, SUM(ARRAYFORMULA(IF(SPLIT(C12, "","")=""0"", 1, 0))))"),0.0)</f>
        <v>0</v>
      </c>
      <c r="O12" s="8" t="str">
        <f t="shared" si="5"/>
        <v>No</v>
      </c>
      <c r="P12" s="7">
        <f>IFERROR(__xludf.DUMMYFUNCTION("IF(C12="""", 0,
  SUM(
    ARRAYFORMULA(
      IFERROR(
        VALUE(REGEXREPLACE(TRIM(SPLIT(REGEXREPLACE(C12, ""[\[\]]"", """"), "","")), ""[^0-9.]"", """")),
        0
      )
    )
  )
)"),41000.0)</f>
        <v>41000</v>
      </c>
      <c r="Q12" s="7">
        <f t="shared" si="6"/>
        <v>6833.333333</v>
      </c>
    </row>
    <row r="13">
      <c r="A13" s="1" t="s">
        <v>50</v>
      </c>
      <c r="B13" s="2" t="s">
        <v>51</v>
      </c>
      <c r="C13" s="1" t="s">
        <v>52</v>
      </c>
      <c r="D13" s="3">
        <v>6000.0</v>
      </c>
      <c r="E13" s="3">
        <v>3000.0</v>
      </c>
      <c r="F13" s="3">
        <v>3200.0</v>
      </c>
      <c r="G13" s="3">
        <v>3000.0</v>
      </c>
      <c r="H13" s="3">
        <v>3100.0</v>
      </c>
      <c r="I13" s="3">
        <v>7864.0</v>
      </c>
      <c r="J13" s="7">
        <f t="shared" si="1"/>
        <v>26164</v>
      </c>
      <c r="K13" s="8" t="str">
        <f t="shared" si="2"/>
        <v>High (&gt;6,630$ – Top ~25%)</v>
      </c>
      <c r="L13" s="8" t="str">
        <f t="shared" si="3"/>
        <v>Paid Something</v>
      </c>
      <c r="M13" s="8">
        <f t="shared" si="4"/>
        <v>9</v>
      </c>
      <c r="N13" s="8">
        <f>IFERROR(__xludf.DUMMYFUNCTION("IF(C13="""", 0, SUM(ARRAYFORMULA(IF(SPLIT(C13, "","")=""0"", 1, 0))))"),0.0)</f>
        <v>0</v>
      </c>
      <c r="O13" s="8" t="str">
        <f t="shared" si="5"/>
        <v>No</v>
      </c>
      <c r="P13" s="7">
        <f>IFERROR(__xludf.DUMMYFUNCTION("IF(C13="""", 0,
  SUM(
    ARRAYFORMULA(
      IFERROR(
        VALUE(REGEXREPLACE(TRIM(SPLIT(REGEXREPLACE(C13, ""[\[\]]"", """"), "","")), ""[^0-9.]"", """")),
        0
      )
    )
  )
)"),30800.0)</f>
        <v>30800</v>
      </c>
      <c r="Q13" s="7">
        <f t="shared" si="6"/>
        <v>3422.222222</v>
      </c>
    </row>
    <row r="14">
      <c r="A14" s="1" t="s">
        <v>53</v>
      </c>
      <c r="B14" s="2" t="s">
        <v>54</v>
      </c>
      <c r="C14" s="1" t="s">
        <v>55</v>
      </c>
      <c r="D14" s="3">
        <v>6000.0</v>
      </c>
      <c r="E14" s="3">
        <v>4000.0</v>
      </c>
      <c r="F14" s="3">
        <v>2000.0</v>
      </c>
      <c r="G14" s="3">
        <v>2000.0</v>
      </c>
      <c r="H14" s="3">
        <v>2000.0</v>
      </c>
      <c r="I14" s="3">
        <v>3495.0</v>
      </c>
      <c r="J14" s="7">
        <f t="shared" si="1"/>
        <v>19495</v>
      </c>
      <c r="K14" s="8" t="str">
        <f t="shared" si="2"/>
        <v>High (&gt;6,630$ – Top ~25%)</v>
      </c>
      <c r="L14" s="8" t="str">
        <f t="shared" si="3"/>
        <v>Paid Something</v>
      </c>
      <c r="M14" s="8">
        <f t="shared" si="4"/>
        <v>7</v>
      </c>
      <c r="N14" s="8">
        <f>IFERROR(__xludf.DUMMYFUNCTION("IF(C14="""", 0, SUM(ARRAYFORMULA(IF(SPLIT(C14, "","")=""0"", 1, 0))))"),0.0)</f>
        <v>0</v>
      </c>
      <c r="O14" s="8" t="str">
        <f t="shared" si="5"/>
        <v>No</v>
      </c>
      <c r="P14" s="7">
        <f>IFERROR(__xludf.DUMMYFUNCTION("IF(C14="""", 0,
  SUM(
    ARRAYFORMULA(
      IFERROR(
        VALUE(REGEXREPLACE(TRIM(SPLIT(REGEXREPLACE(C14, ""[\[\]]"", """"), "","")), ""[^0-9.]"", """")),
        0
      )
    )
  )
)"),13585.0)</f>
        <v>13585</v>
      </c>
      <c r="Q14" s="7">
        <f t="shared" si="6"/>
        <v>1940.714286</v>
      </c>
    </row>
    <row r="15">
      <c r="A15" s="1" t="s">
        <v>56</v>
      </c>
      <c r="B15" s="2" t="s">
        <v>57</v>
      </c>
      <c r="C15" s="1" t="s">
        <v>58</v>
      </c>
      <c r="D15" s="3">
        <v>6000.0</v>
      </c>
      <c r="E15" s="3">
        <v>500.0</v>
      </c>
      <c r="F15" s="3">
        <v>1000.0</v>
      </c>
      <c r="G15" s="3">
        <v>500.0</v>
      </c>
      <c r="H15" s="3">
        <v>1950.0</v>
      </c>
      <c r="I15" s="3">
        <v>1000.0</v>
      </c>
      <c r="J15" s="7">
        <f t="shared" si="1"/>
        <v>10950</v>
      </c>
      <c r="K15" s="8" t="str">
        <f t="shared" si="2"/>
        <v>High (&gt;6,630$ – Top ~25%)</v>
      </c>
      <c r="L15" s="8" t="str">
        <f t="shared" si="3"/>
        <v>Paid Something</v>
      </c>
      <c r="M15" s="8">
        <f t="shared" si="4"/>
        <v>13</v>
      </c>
      <c r="N15" s="8">
        <f>IFERROR(__xludf.DUMMYFUNCTION("IF(C15="""", 0, SUM(ARRAYFORMULA(IF(SPLIT(C15, "","")=""0"", 1, 0))))"),0.0)</f>
        <v>0</v>
      </c>
      <c r="O15" s="8" t="str">
        <f t="shared" si="5"/>
        <v>No</v>
      </c>
      <c r="P15" s="7">
        <f>IFERROR(__xludf.DUMMYFUNCTION("IF(C15="""", 0,
  SUM(
    ARRAYFORMULA(
      IFERROR(
        VALUE(REGEXREPLACE(TRIM(SPLIT(REGEXREPLACE(C15, ""[\[\]]"", """"), "","")), ""[^0-9.]"", """")),
        0
      )
    )
  )
)"),22555.0)</f>
        <v>22555</v>
      </c>
      <c r="Q15" s="7">
        <f t="shared" si="6"/>
        <v>1735</v>
      </c>
    </row>
    <row r="16">
      <c r="A16" s="1" t="s">
        <v>59</v>
      </c>
      <c r="B16" s="2" t="s">
        <v>60</v>
      </c>
      <c r="C16" s="1" t="s">
        <v>61</v>
      </c>
      <c r="D16" s="3">
        <v>5700.0</v>
      </c>
      <c r="E16" s="3">
        <v>2850.0</v>
      </c>
      <c r="F16" s="3">
        <v>3230.0</v>
      </c>
      <c r="G16" s="3">
        <v>2850.0</v>
      </c>
      <c r="H16" s="3">
        <v>3600.0</v>
      </c>
      <c r="I16" s="3">
        <v>3084.0</v>
      </c>
      <c r="J16" s="7">
        <f t="shared" si="1"/>
        <v>21314</v>
      </c>
      <c r="K16" s="8" t="str">
        <f t="shared" si="2"/>
        <v>High (&gt;6,630$ – Top ~25%)</v>
      </c>
      <c r="L16" s="8" t="str">
        <f t="shared" si="3"/>
        <v>Paid Something</v>
      </c>
      <c r="M16" s="8">
        <f t="shared" si="4"/>
        <v>15</v>
      </c>
      <c r="N16" s="8">
        <f>IFERROR(__xludf.DUMMYFUNCTION("IF(C16="""", 0, SUM(ARRAYFORMULA(IF(SPLIT(C16, "","")=""0"", 1, 0))))"),0.0)</f>
        <v>0</v>
      </c>
      <c r="O16" s="8" t="str">
        <f t="shared" si="5"/>
        <v>No</v>
      </c>
      <c r="P16" s="7">
        <f>IFERROR(__xludf.DUMMYFUNCTION("IF(C16="""", 0,
  SUM(
    ARRAYFORMULA(
      IFERROR(
        VALUE(REGEXREPLACE(TRIM(SPLIT(REGEXREPLACE(C16, ""[\[\]]"", """"), "","")), ""[^0-9.]"", """")),
        0
      )
    )
  )
)"),36220.0)</f>
        <v>36220</v>
      </c>
      <c r="Q16" s="7">
        <f t="shared" si="6"/>
        <v>2414.666667</v>
      </c>
    </row>
    <row r="17">
      <c r="A17" s="1" t="s">
        <v>62</v>
      </c>
      <c r="B17" s="2" t="s">
        <v>63</v>
      </c>
      <c r="C17" s="1" t="s">
        <v>64</v>
      </c>
      <c r="D17" s="3">
        <v>5700.0</v>
      </c>
      <c r="E17" s="3">
        <v>2050.0</v>
      </c>
      <c r="F17" s="3">
        <v>3069.0</v>
      </c>
      <c r="G17" s="3">
        <v>6138.0</v>
      </c>
      <c r="H17" s="3">
        <v>3069.0</v>
      </c>
      <c r="I17" s="3">
        <v>3668.0</v>
      </c>
      <c r="J17" s="7">
        <f t="shared" si="1"/>
        <v>23694</v>
      </c>
      <c r="K17" s="8" t="str">
        <f t="shared" si="2"/>
        <v>High (&gt;6,630$ – Top ~25%)</v>
      </c>
      <c r="L17" s="8" t="str">
        <f t="shared" si="3"/>
        <v>Paid Something</v>
      </c>
      <c r="M17" s="8">
        <f t="shared" si="4"/>
        <v>10</v>
      </c>
      <c r="N17" s="8">
        <f>IFERROR(__xludf.DUMMYFUNCTION("IF(C17="""", 0, SUM(ARRAYFORMULA(IF(SPLIT(C17, "","")=""0"", 1, 0))))"),0.0)</f>
        <v>0</v>
      </c>
      <c r="O17" s="8" t="str">
        <f t="shared" si="5"/>
        <v>No</v>
      </c>
      <c r="P17" s="7">
        <f>IFERROR(__xludf.DUMMYFUNCTION("IF(C17="""", 0,
  SUM(
    ARRAYFORMULA(
      IFERROR(
        VALUE(REGEXREPLACE(TRIM(SPLIT(REGEXREPLACE(C17, ""[\[\]]"", """"), "","")), ""[^0-9.]"", """")),
        0
      )
    )
  )
)"),33270.0)</f>
        <v>33270</v>
      </c>
      <c r="Q17" s="7">
        <f t="shared" si="6"/>
        <v>3327</v>
      </c>
    </row>
    <row r="18">
      <c r="A18" s="1" t="s">
        <v>65</v>
      </c>
      <c r="B18" s="2" t="s">
        <v>66</v>
      </c>
      <c r="C18" s="1" t="s">
        <v>67</v>
      </c>
      <c r="D18" s="3">
        <v>5525.0</v>
      </c>
      <c r="E18" s="3">
        <v>5000.0</v>
      </c>
      <c r="F18" s="3">
        <v>1000.0</v>
      </c>
      <c r="G18" s="3">
        <v>1150.0</v>
      </c>
      <c r="H18" s="3">
        <v>1700.0</v>
      </c>
      <c r="I18" s="3">
        <v>12000.0</v>
      </c>
      <c r="J18" s="7">
        <f t="shared" si="1"/>
        <v>26375</v>
      </c>
      <c r="K18" s="8" t="str">
        <f t="shared" si="2"/>
        <v>High (&gt;6,630$ – Top ~25%)</v>
      </c>
      <c r="L18" s="8" t="str">
        <f t="shared" si="3"/>
        <v>Paid Something</v>
      </c>
      <c r="M18" s="8">
        <f t="shared" si="4"/>
        <v>5</v>
      </c>
      <c r="N18" s="8">
        <f>IFERROR(__xludf.DUMMYFUNCTION("IF(C18="""", 0, SUM(ARRAYFORMULA(IF(SPLIT(C18, "","")=""0"", 1, 0))))"),0.0)</f>
        <v>0</v>
      </c>
      <c r="O18" s="8" t="str">
        <f t="shared" si="5"/>
        <v>No</v>
      </c>
      <c r="P18" s="7">
        <f>IFERROR(__xludf.DUMMYFUNCTION("IF(C18="""", 0,
  SUM(
    ARRAYFORMULA(
      IFERROR(
        VALUE(REGEXREPLACE(TRIM(SPLIT(REGEXREPLACE(C18, ""[\[\]]"", """"), "","")), ""[^0-9.]"", """")),
        0
      )
    )
  )
)"),7340.0)</f>
        <v>7340</v>
      </c>
      <c r="Q18" s="7">
        <f t="shared" si="6"/>
        <v>1468</v>
      </c>
    </row>
    <row r="19">
      <c r="A19" s="1" t="s">
        <v>68</v>
      </c>
      <c r="B19" s="2" t="s">
        <v>69</v>
      </c>
      <c r="C19" s="1" t="s">
        <v>70</v>
      </c>
      <c r="D19" s="3">
        <v>5500.0</v>
      </c>
      <c r="E19" s="3">
        <v>785.0</v>
      </c>
      <c r="F19" s="3">
        <v>775.0</v>
      </c>
      <c r="G19" s="3">
        <v>1950.0</v>
      </c>
      <c r="H19" s="3">
        <v>1000.0</v>
      </c>
      <c r="I19" s="3">
        <v>6000.0</v>
      </c>
      <c r="J19" s="7">
        <f t="shared" si="1"/>
        <v>16010</v>
      </c>
      <c r="K19" s="8" t="str">
        <f t="shared" si="2"/>
        <v>High (&gt;6,630$ – Top ~25%)</v>
      </c>
      <c r="L19" s="8" t="str">
        <f t="shared" si="3"/>
        <v>Paid Something</v>
      </c>
      <c r="M19" s="8">
        <f t="shared" si="4"/>
        <v>10</v>
      </c>
      <c r="N19" s="8">
        <f>IFERROR(__xludf.DUMMYFUNCTION("IF(C19="""", 0, SUM(ARRAYFORMULA(IF(SPLIT(C19, "","")=""0"", 1, 0))))"),0.0)</f>
        <v>0</v>
      </c>
      <c r="O19" s="8" t="str">
        <f t="shared" si="5"/>
        <v>No</v>
      </c>
      <c r="P19" s="7">
        <f>IFERROR(__xludf.DUMMYFUNCTION("IF(C19="""", 0,
  SUM(
    ARRAYFORMULA(
      IFERROR(
        VALUE(REGEXREPLACE(TRIM(SPLIT(REGEXREPLACE(C19, ""[\[\]]"", """"), "","")), ""[^0-9.]"", """")),
        0
      )
    )
  )
)"),17130.0)</f>
        <v>17130</v>
      </c>
      <c r="Q19" s="7">
        <f t="shared" si="6"/>
        <v>1713</v>
      </c>
    </row>
    <row r="20">
      <c r="A20" s="1" t="s">
        <v>71</v>
      </c>
      <c r="B20" s="2" t="s">
        <v>72</v>
      </c>
      <c r="C20" s="1" t="s">
        <v>73</v>
      </c>
      <c r="D20" s="3">
        <v>5436.0</v>
      </c>
      <c r="E20" s="3">
        <v>4141.0</v>
      </c>
      <c r="F20" s="3">
        <v>500.0</v>
      </c>
      <c r="G20" s="3">
        <v>2080.0</v>
      </c>
      <c r="H20" s="3">
        <v>2975.0</v>
      </c>
      <c r="I20" s="3">
        <v>2609.0</v>
      </c>
      <c r="J20" s="7">
        <f t="shared" si="1"/>
        <v>17741</v>
      </c>
      <c r="K20" s="8" t="str">
        <f t="shared" si="2"/>
        <v>High (&gt;6,630$ – Top ~25%)</v>
      </c>
      <c r="L20" s="8" t="str">
        <f t="shared" si="3"/>
        <v>Paid Something</v>
      </c>
      <c r="M20" s="8">
        <f t="shared" si="4"/>
        <v>25</v>
      </c>
      <c r="N20" s="8">
        <f>IFERROR(__xludf.DUMMYFUNCTION("IF(C20="""", 0, SUM(ARRAYFORMULA(IF(SPLIT(C20, "","")=""0"", 1, 0))))"),0.0)</f>
        <v>0</v>
      </c>
      <c r="O20" s="8" t="str">
        <f t="shared" si="5"/>
        <v>No</v>
      </c>
      <c r="P20" s="7">
        <f>IFERROR(__xludf.DUMMYFUNCTION("IF(C20="""", 0,
  SUM(
    ARRAYFORMULA(
      IFERROR(
        VALUE(REGEXREPLACE(TRIM(SPLIT(REGEXREPLACE(C20, ""[\[\]]"", """"), "","")), ""[^0-9.]"", """")),
        0
      )
    )
  )
)"),39603.0)</f>
        <v>39603</v>
      </c>
      <c r="Q20" s="7">
        <f t="shared" si="6"/>
        <v>1584.12</v>
      </c>
    </row>
    <row r="21">
      <c r="A21" s="1" t="s">
        <v>74</v>
      </c>
      <c r="B21" s="2" t="s">
        <v>75</v>
      </c>
      <c r="C21" s="1" t="s">
        <v>76</v>
      </c>
      <c r="D21" s="3">
        <v>5195.0</v>
      </c>
      <c r="E21" s="3">
        <v>2500.0</v>
      </c>
      <c r="F21" s="3">
        <v>2800.0</v>
      </c>
      <c r="G21" s="3">
        <v>3100.0</v>
      </c>
      <c r="H21" s="3">
        <v>2900.0</v>
      </c>
      <c r="I21" s="3">
        <v>2139.0</v>
      </c>
      <c r="J21" s="7">
        <f t="shared" si="1"/>
        <v>18634</v>
      </c>
      <c r="K21" s="8" t="str">
        <f t="shared" si="2"/>
        <v>High (&gt;6,630$ – Top ~25%)</v>
      </c>
      <c r="L21" s="8" t="str">
        <f t="shared" si="3"/>
        <v>Paid Something</v>
      </c>
      <c r="M21" s="8">
        <f t="shared" si="4"/>
        <v>14</v>
      </c>
      <c r="N21" s="8">
        <f>IFERROR(__xludf.DUMMYFUNCTION("IF(C21="""", 0, SUM(ARRAYFORMULA(IF(SPLIT(C21, "","")=""0"", 1, 0))))"),0.0)</f>
        <v>0</v>
      </c>
      <c r="O21" s="8" t="str">
        <f t="shared" si="5"/>
        <v>No</v>
      </c>
      <c r="P21" s="7">
        <f>IFERROR(__xludf.DUMMYFUNCTION("IF(C21="""", 0,
  SUM(
    ARRAYFORMULA(
      IFERROR(
        VALUE(REGEXREPLACE(TRIM(SPLIT(REGEXREPLACE(C21, ""[\[\]]"", """"), "","")), ""[^0-9.]"", """")),
        0
      )
    )
  )
)"),38330.0)</f>
        <v>38330</v>
      </c>
      <c r="Q21" s="7">
        <f t="shared" si="6"/>
        <v>2737.857143</v>
      </c>
    </row>
    <row r="22">
      <c r="A22" s="1" t="s">
        <v>77</v>
      </c>
      <c r="B22" s="2" t="s">
        <v>78</v>
      </c>
      <c r="C22" s="1" t="s">
        <v>79</v>
      </c>
      <c r="D22" s="3">
        <v>5000.0</v>
      </c>
      <c r="E22" s="3">
        <v>3000.0</v>
      </c>
      <c r="F22" s="3">
        <v>3000.0</v>
      </c>
      <c r="G22" s="3">
        <v>1500.0</v>
      </c>
      <c r="H22" s="3">
        <v>300.0</v>
      </c>
      <c r="I22" s="3">
        <v>139.0</v>
      </c>
      <c r="J22" s="7">
        <f t="shared" si="1"/>
        <v>12939</v>
      </c>
      <c r="K22" s="8" t="str">
        <f t="shared" si="2"/>
        <v>High (&gt;6,630$ – Top ~25%)</v>
      </c>
      <c r="L22" s="8" t="str">
        <f t="shared" si="3"/>
        <v>Paid Something</v>
      </c>
      <c r="M22" s="8">
        <f t="shared" si="4"/>
        <v>6</v>
      </c>
      <c r="N22" s="8">
        <f>IFERROR(__xludf.DUMMYFUNCTION("IF(C22="""", 0, SUM(ARRAYFORMULA(IF(SPLIT(C22, "","")=""0"", 1, 0))))"),0.0)</f>
        <v>0</v>
      </c>
      <c r="O22" s="8" t="str">
        <f t="shared" si="5"/>
        <v>No</v>
      </c>
      <c r="P22" s="7">
        <f>IFERROR(__xludf.DUMMYFUNCTION("IF(C22="""", 0,
  SUM(
    ARRAYFORMULA(
      IFERROR(
        VALUE(REGEXREPLACE(TRIM(SPLIT(REGEXREPLACE(C22, ""[\[\]]"", """"), "","")), ""[^0-9.]"", """")),
        0
      )
    )
  )
)"),20145.0)</f>
        <v>20145</v>
      </c>
      <c r="Q22" s="7">
        <f t="shared" si="6"/>
        <v>3357.5</v>
      </c>
    </row>
    <row r="23">
      <c r="A23" s="1" t="s">
        <v>80</v>
      </c>
      <c r="B23" s="2" t="s">
        <v>81</v>
      </c>
      <c r="C23" s="1" t="s">
        <v>82</v>
      </c>
      <c r="D23" s="3">
        <v>5000.0</v>
      </c>
      <c r="E23" s="3">
        <v>1050.0</v>
      </c>
      <c r="F23" s="3">
        <v>2050.0</v>
      </c>
      <c r="G23" s="3">
        <v>1420.0</v>
      </c>
      <c r="H23" s="3">
        <v>3550.0</v>
      </c>
      <c r="I23" s="3">
        <v>3970.0</v>
      </c>
      <c r="J23" s="7">
        <f t="shared" si="1"/>
        <v>17040</v>
      </c>
      <c r="K23" s="8" t="str">
        <f t="shared" si="2"/>
        <v>High (&gt;6,630$ – Top ~25%)</v>
      </c>
      <c r="L23" s="8" t="str">
        <f t="shared" si="3"/>
        <v>Paid Something</v>
      </c>
      <c r="M23" s="8">
        <f t="shared" si="4"/>
        <v>8</v>
      </c>
      <c r="N23" s="8">
        <f>IFERROR(__xludf.DUMMYFUNCTION("IF(C23="""", 0, SUM(ARRAYFORMULA(IF(SPLIT(C23, "","")=""0"", 1, 0))))"),0.0)</f>
        <v>0</v>
      </c>
      <c r="O23" s="8" t="str">
        <f t="shared" si="5"/>
        <v>No</v>
      </c>
      <c r="P23" s="7">
        <f>IFERROR(__xludf.DUMMYFUNCTION("IF(C23="""", 0,
  SUM(
    ARRAYFORMULA(
      IFERROR(
        VALUE(REGEXREPLACE(TRIM(SPLIT(REGEXREPLACE(C23, ""[\[\]]"", """"), "","")), ""[^0-9.]"", """")),
        0
      )
    )
  )
)"),16040.0)</f>
        <v>16040</v>
      </c>
      <c r="Q23" s="7">
        <f t="shared" si="6"/>
        <v>2005</v>
      </c>
    </row>
    <row r="24">
      <c r="A24" s="1" t="s">
        <v>83</v>
      </c>
      <c r="B24" s="2" t="s">
        <v>84</v>
      </c>
      <c r="C24" s="1" t="s">
        <v>85</v>
      </c>
      <c r="D24" s="3">
        <v>5000.0</v>
      </c>
      <c r="E24" s="3">
        <v>2000.0</v>
      </c>
      <c r="F24" s="3">
        <v>1000.0</v>
      </c>
      <c r="G24" s="3">
        <v>10185.0</v>
      </c>
      <c r="H24" s="3">
        <v>200.0</v>
      </c>
      <c r="I24" s="3">
        <v>699.0</v>
      </c>
      <c r="J24" s="7">
        <f t="shared" si="1"/>
        <v>19084</v>
      </c>
      <c r="K24" s="8" t="str">
        <f t="shared" si="2"/>
        <v>High (&gt;6,630$ – Top ~25%)</v>
      </c>
      <c r="L24" s="8" t="str">
        <f t="shared" si="3"/>
        <v>Paid Something</v>
      </c>
      <c r="M24" s="8">
        <f t="shared" si="4"/>
        <v>6</v>
      </c>
      <c r="N24" s="8">
        <f>IFERROR(__xludf.DUMMYFUNCTION("IF(C24="""", 0, SUM(ARRAYFORMULA(IF(SPLIT(C24, "","")=""0"", 1, 0))))"),0.0)</f>
        <v>0</v>
      </c>
      <c r="O24" s="8" t="str">
        <f t="shared" si="5"/>
        <v>No</v>
      </c>
      <c r="P24" s="7">
        <f>IFERROR(__xludf.DUMMYFUNCTION("IF(C24="""", 0,
  SUM(
    ARRAYFORMULA(
      IFERROR(
        VALUE(REGEXREPLACE(TRIM(SPLIT(REGEXREPLACE(C24, ""[\[\]]"", """"), "","")), ""[^0-9.]"", """")),
        0
      )
    )
  )
)"),14000.0)</f>
        <v>14000</v>
      </c>
      <c r="Q24" s="7">
        <f t="shared" si="6"/>
        <v>2333.333333</v>
      </c>
    </row>
    <row r="25">
      <c r="A25" s="1" t="s">
        <v>86</v>
      </c>
      <c r="B25" s="2" t="s">
        <v>87</v>
      </c>
      <c r="C25" s="1" t="s">
        <v>88</v>
      </c>
      <c r="D25" s="3">
        <v>5000.0</v>
      </c>
      <c r="E25" s="3">
        <v>5920.0</v>
      </c>
      <c r="F25" s="3">
        <v>1950.0</v>
      </c>
      <c r="G25" s="3">
        <v>2000.0</v>
      </c>
      <c r="H25" s="3">
        <v>3650.0</v>
      </c>
      <c r="I25" s="3">
        <v>2400.0</v>
      </c>
      <c r="J25" s="7">
        <f t="shared" si="1"/>
        <v>20920</v>
      </c>
      <c r="K25" s="8" t="str">
        <f t="shared" si="2"/>
        <v>High (&gt;6,630$ – Top ~25%)</v>
      </c>
      <c r="L25" s="8" t="str">
        <f t="shared" si="3"/>
        <v>Paid Something</v>
      </c>
      <c r="M25" s="8">
        <f t="shared" si="4"/>
        <v>7</v>
      </c>
      <c r="N25" s="8">
        <f>IFERROR(__xludf.DUMMYFUNCTION("IF(C25="""", 0, SUM(ARRAYFORMULA(IF(SPLIT(C25, "","")=""0"", 1, 0))))"),0.0)</f>
        <v>0</v>
      </c>
      <c r="O25" s="8" t="str">
        <f t="shared" si="5"/>
        <v>No</v>
      </c>
      <c r="P25" s="7">
        <f>IFERROR(__xludf.DUMMYFUNCTION("IF(C25="""", 0,
  SUM(
    ARRAYFORMULA(
      IFERROR(
        VALUE(REGEXREPLACE(TRIM(SPLIT(REGEXREPLACE(C25, ""[\[\]]"", """"), "","")), ""[^0-9.]"", """")),
        0
      )
    )
  )
)"),36044.0)</f>
        <v>36044</v>
      </c>
      <c r="Q25" s="7">
        <f t="shared" si="6"/>
        <v>5149.142857</v>
      </c>
    </row>
    <row r="26">
      <c r="A26" s="1" t="s">
        <v>89</v>
      </c>
      <c r="B26" s="2" t="s">
        <v>90</v>
      </c>
      <c r="C26" s="1" t="s">
        <v>91</v>
      </c>
      <c r="D26" s="3">
        <v>5000.0</v>
      </c>
      <c r="E26" s="3">
        <v>40.0</v>
      </c>
      <c r="F26" s="3">
        <v>2000.0</v>
      </c>
      <c r="G26" s="3">
        <v>500.0</v>
      </c>
      <c r="H26" s="3">
        <v>1500.0</v>
      </c>
      <c r="I26" s="3">
        <v>2470.0</v>
      </c>
      <c r="J26" s="7">
        <f t="shared" si="1"/>
        <v>11510</v>
      </c>
      <c r="K26" s="8" t="str">
        <f t="shared" si="2"/>
        <v>High (&gt;6,630$ – Top ~25%)</v>
      </c>
      <c r="L26" s="8" t="str">
        <f t="shared" si="3"/>
        <v>Paid Something</v>
      </c>
      <c r="M26" s="8">
        <f t="shared" si="4"/>
        <v>10</v>
      </c>
      <c r="N26" s="8">
        <f>IFERROR(__xludf.DUMMYFUNCTION("IF(C26="""", 0, SUM(ARRAYFORMULA(IF(SPLIT(C26, "","")=""0"", 1, 0))))"),0.0)</f>
        <v>0</v>
      </c>
      <c r="O26" s="8" t="str">
        <f t="shared" si="5"/>
        <v>No</v>
      </c>
      <c r="P26" s="7">
        <f>IFERROR(__xludf.DUMMYFUNCTION("IF(C26="""", 0,
  SUM(
    ARRAYFORMULA(
      IFERROR(
        VALUE(REGEXREPLACE(TRIM(SPLIT(REGEXREPLACE(C26, ""[\[\]]"", """"), "","")), ""[^0-9.]"", """")),
        0
      )
    )
  )
)"),5050.0)</f>
        <v>5050</v>
      </c>
      <c r="Q26" s="7">
        <f t="shared" si="6"/>
        <v>505</v>
      </c>
    </row>
    <row r="27">
      <c r="A27" s="1" t="s">
        <v>92</v>
      </c>
      <c r="B27" s="2" t="s">
        <v>93</v>
      </c>
      <c r="C27" s="1" t="s">
        <v>94</v>
      </c>
      <c r="D27" s="3">
        <v>5000.0</v>
      </c>
      <c r="E27" s="3">
        <v>4055.0</v>
      </c>
      <c r="F27" s="3">
        <v>1500.0</v>
      </c>
      <c r="G27" s="3">
        <v>2610.0</v>
      </c>
      <c r="H27" s="3">
        <v>2000.0</v>
      </c>
      <c r="I27" s="3">
        <v>604.0</v>
      </c>
      <c r="J27" s="7">
        <f t="shared" si="1"/>
        <v>15769</v>
      </c>
      <c r="K27" s="8" t="str">
        <f t="shared" si="2"/>
        <v>High (&gt;6,630$ – Top ~25%)</v>
      </c>
      <c r="L27" s="8" t="str">
        <f t="shared" si="3"/>
        <v>Paid Something</v>
      </c>
      <c r="M27" s="8">
        <f t="shared" si="4"/>
        <v>15</v>
      </c>
      <c r="N27" s="8">
        <f>IFERROR(__xludf.DUMMYFUNCTION("IF(C27="""", 0, SUM(ARRAYFORMULA(IF(SPLIT(C27, "","")=""0"", 1, 0))))"),0.0)</f>
        <v>0</v>
      </c>
      <c r="O27" s="8" t="str">
        <f t="shared" si="5"/>
        <v>No</v>
      </c>
      <c r="P27" s="7">
        <f>IFERROR(__xludf.DUMMYFUNCTION("IF(C27="""", 0,
  SUM(
    ARRAYFORMULA(
      IFERROR(
        VALUE(REGEXREPLACE(TRIM(SPLIT(REGEXREPLACE(C27, ""[\[\]]"", """"), "","")), ""[^0-9.]"", """")),
        0
      )
    )
  )
)"),17480.0)</f>
        <v>17480</v>
      </c>
      <c r="Q27" s="7">
        <f t="shared" si="6"/>
        <v>1165.333333</v>
      </c>
    </row>
    <row r="28">
      <c r="A28" s="1" t="s">
        <v>95</v>
      </c>
      <c r="B28" s="2" t="s">
        <v>96</v>
      </c>
      <c r="C28" s="1" t="s">
        <v>97</v>
      </c>
      <c r="D28" s="3">
        <v>4950.0</v>
      </c>
      <c r="E28" s="3">
        <v>1620.0</v>
      </c>
      <c r="F28" s="3">
        <v>2000.0</v>
      </c>
      <c r="G28" s="3">
        <v>2600.0</v>
      </c>
      <c r="H28" s="3">
        <v>2800.0</v>
      </c>
      <c r="I28" s="3">
        <v>1644.0</v>
      </c>
      <c r="J28" s="7">
        <f t="shared" si="1"/>
        <v>15614</v>
      </c>
      <c r="K28" s="8" t="str">
        <f t="shared" si="2"/>
        <v>High (&gt;6,630$ – Top ~25%)</v>
      </c>
      <c r="L28" s="8" t="str">
        <f t="shared" si="3"/>
        <v>Paid Something</v>
      </c>
      <c r="M28" s="8">
        <f t="shared" si="4"/>
        <v>13</v>
      </c>
      <c r="N28" s="8">
        <f>IFERROR(__xludf.DUMMYFUNCTION("IF(C28="""", 0, SUM(ARRAYFORMULA(IF(SPLIT(C28, "","")=""0"", 1, 0))))"),0.0)</f>
        <v>0</v>
      </c>
      <c r="O28" s="8" t="str">
        <f t="shared" si="5"/>
        <v>No</v>
      </c>
      <c r="P28" s="7">
        <f>IFERROR(__xludf.DUMMYFUNCTION("IF(C28="""", 0,
  SUM(
    ARRAYFORMULA(
      IFERROR(
        VALUE(REGEXREPLACE(TRIM(SPLIT(REGEXREPLACE(C28, ""[\[\]]"", """"), "","")), ""[^0-9.]"", """")),
        0
      )
    )
  )
)"),41350.0)</f>
        <v>41350</v>
      </c>
      <c r="Q28" s="7">
        <f t="shared" si="6"/>
        <v>3180.769231</v>
      </c>
    </row>
    <row r="29">
      <c r="A29" s="1" t="s">
        <v>98</v>
      </c>
      <c r="B29" s="2" t="s">
        <v>99</v>
      </c>
      <c r="C29" s="1" t="s">
        <v>100</v>
      </c>
      <c r="D29" s="3">
        <v>4890.0</v>
      </c>
      <c r="E29" s="3">
        <v>1643.0</v>
      </c>
      <c r="F29" s="3">
        <v>4290.0</v>
      </c>
      <c r="G29" s="3">
        <v>4307.0</v>
      </c>
      <c r="H29" s="3">
        <v>1920.0</v>
      </c>
      <c r="I29" s="3">
        <v>1950.0</v>
      </c>
      <c r="J29" s="7">
        <f t="shared" si="1"/>
        <v>19000</v>
      </c>
      <c r="K29" s="8" t="str">
        <f t="shared" si="2"/>
        <v>High (&gt;6,630$ – Top ~25%)</v>
      </c>
      <c r="L29" s="8" t="str">
        <f t="shared" si="3"/>
        <v>Paid Something</v>
      </c>
      <c r="M29" s="8">
        <f t="shared" si="4"/>
        <v>11</v>
      </c>
      <c r="N29" s="8">
        <f>IFERROR(__xludf.DUMMYFUNCTION("IF(C29="""", 0, SUM(ARRAYFORMULA(IF(SPLIT(C29, "","")=""0"", 1, 0))))"),0.0)</f>
        <v>0</v>
      </c>
      <c r="O29" s="8" t="str">
        <f t="shared" si="5"/>
        <v>No</v>
      </c>
      <c r="P29" s="7">
        <f>IFERROR(__xludf.DUMMYFUNCTION("IF(C29="""", 0,
  SUM(
    ARRAYFORMULA(
      IFERROR(
        VALUE(REGEXREPLACE(TRIM(SPLIT(REGEXREPLACE(C29, ""[\[\]]"", """"), "","")), ""[^0-9.]"", """")),
        0
      )
    )
  )
)"),37964.0)</f>
        <v>37964</v>
      </c>
      <c r="Q29" s="7">
        <f t="shared" si="6"/>
        <v>3451.272727</v>
      </c>
    </row>
    <row r="30">
      <c r="A30" s="1" t="s">
        <v>101</v>
      </c>
      <c r="B30" s="2" t="s">
        <v>102</v>
      </c>
      <c r="C30" s="1" t="s">
        <v>103</v>
      </c>
      <c r="D30" s="3">
        <v>4800.0</v>
      </c>
      <c r="E30" s="3">
        <v>3400.0</v>
      </c>
      <c r="F30" s="3">
        <v>1820.0</v>
      </c>
      <c r="G30" s="3">
        <v>2384.0</v>
      </c>
      <c r="H30" s="3">
        <v>4950.0</v>
      </c>
      <c r="I30" s="3">
        <v>850.0</v>
      </c>
      <c r="J30" s="7">
        <f t="shared" si="1"/>
        <v>18204</v>
      </c>
      <c r="K30" s="8" t="str">
        <f t="shared" si="2"/>
        <v>High (&gt;6,630$ – Top ~25%)</v>
      </c>
      <c r="L30" s="8" t="str">
        <f t="shared" si="3"/>
        <v>Paid Something</v>
      </c>
      <c r="M30" s="8">
        <f t="shared" si="4"/>
        <v>11</v>
      </c>
      <c r="N30" s="8">
        <f>IFERROR(__xludf.DUMMYFUNCTION("IF(C30="""", 0, SUM(ARRAYFORMULA(IF(SPLIT(C30, "","")=""0"", 1, 0))))"),0.0)</f>
        <v>0</v>
      </c>
      <c r="O30" s="8" t="str">
        <f t="shared" si="5"/>
        <v>No</v>
      </c>
      <c r="P30" s="7">
        <f>IFERROR(__xludf.DUMMYFUNCTION("IF(C30="""", 0,
  SUM(
    ARRAYFORMULA(
      IFERROR(
        VALUE(REGEXREPLACE(TRIM(SPLIT(REGEXREPLACE(C30, ""[\[\]]"", """"), "","")), ""[^0-9.]"", """")),
        0
      )
    )
  )
)"),38760.0)</f>
        <v>38760</v>
      </c>
      <c r="Q30" s="7">
        <f t="shared" si="6"/>
        <v>3523.636364</v>
      </c>
    </row>
    <row r="31">
      <c r="A31" s="1" t="s">
        <v>104</v>
      </c>
      <c r="B31" s="2" t="s">
        <v>105</v>
      </c>
      <c r="C31" s="1" t="s">
        <v>106</v>
      </c>
      <c r="D31" s="3">
        <v>4700.0</v>
      </c>
      <c r="E31" s="3">
        <v>110.0</v>
      </c>
      <c r="F31" s="3">
        <v>2150.0</v>
      </c>
      <c r="G31" s="3">
        <v>1650.0</v>
      </c>
      <c r="H31" s="3">
        <v>3810.0</v>
      </c>
      <c r="I31" s="3">
        <v>1334.0</v>
      </c>
      <c r="J31" s="7">
        <f t="shared" si="1"/>
        <v>13754</v>
      </c>
      <c r="K31" s="8" t="str">
        <f t="shared" si="2"/>
        <v>High (&gt;6,630$ – Top ~25%)</v>
      </c>
      <c r="L31" s="8" t="str">
        <f t="shared" si="3"/>
        <v>Paid Something</v>
      </c>
      <c r="M31" s="8">
        <f t="shared" si="4"/>
        <v>10</v>
      </c>
      <c r="N31" s="8">
        <f>IFERROR(__xludf.DUMMYFUNCTION("IF(C31="""", 0, SUM(ARRAYFORMULA(IF(SPLIT(C31, "","")=""0"", 1, 0))))"),0.0)</f>
        <v>0</v>
      </c>
      <c r="O31" s="8" t="str">
        <f t="shared" si="5"/>
        <v>No</v>
      </c>
      <c r="P31" s="7">
        <f>IFERROR(__xludf.DUMMYFUNCTION("IF(C31="""", 0,
  SUM(
    ARRAYFORMULA(
      IFERROR(
        VALUE(REGEXREPLACE(TRIM(SPLIT(REGEXREPLACE(C31, ""[\[\]]"", """"), "","")), ""[^0-9.]"", """")),
        0
      )
    )
  )
)"),19440.0)</f>
        <v>19440</v>
      </c>
      <c r="Q31" s="7">
        <f t="shared" si="6"/>
        <v>1944</v>
      </c>
    </row>
    <row r="32">
      <c r="A32" s="1" t="s">
        <v>107</v>
      </c>
      <c r="B32" s="2" t="s">
        <v>108</v>
      </c>
      <c r="C32" s="1" t="s">
        <v>109</v>
      </c>
      <c r="D32" s="3">
        <v>4680.0</v>
      </c>
      <c r="E32" s="3">
        <v>1580.0</v>
      </c>
      <c r="F32" s="3">
        <v>180.0</v>
      </c>
      <c r="G32" s="3">
        <v>280.0</v>
      </c>
      <c r="H32" s="3">
        <v>160.0</v>
      </c>
      <c r="I32" s="3">
        <v>120.0</v>
      </c>
      <c r="J32" s="7">
        <f t="shared" si="1"/>
        <v>7000</v>
      </c>
      <c r="K32" s="8" t="str">
        <f t="shared" si="2"/>
        <v>High (&gt;6,630$ – Top ~25%)</v>
      </c>
      <c r="L32" s="8" t="str">
        <f t="shared" si="3"/>
        <v>Paid Something</v>
      </c>
      <c r="M32" s="8">
        <f t="shared" si="4"/>
        <v>32</v>
      </c>
      <c r="N32" s="8">
        <f>IFERROR(__xludf.DUMMYFUNCTION("IF(C32="""", 0, SUM(ARRAYFORMULA(IF(SPLIT(C32, "","")=""0"", 1, 0))))"),0.0)</f>
        <v>0</v>
      </c>
      <c r="O32" s="8" t="str">
        <f t="shared" si="5"/>
        <v>No</v>
      </c>
      <c r="P32" s="7">
        <f>IFERROR(__xludf.DUMMYFUNCTION("IF(C32="""", 0,
  SUM(
    ARRAYFORMULA(
      IFERROR(
        VALUE(REGEXREPLACE(TRIM(SPLIT(REGEXREPLACE(C32, ""[\[\]]"", """"), "","")), ""[^0-9.]"", """")),
        0
      )
    )
  )
)"),8120.0)</f>
        <v>8120</v>
      </c>
      <c r="Q32" s="7">
        <f t="shared" si="6"/>
        <v>253.75</v>
      </c>
    </row>
    <row r="33">
      <c r="A33" s="1" t="s">
        <v>110</v>
      </c>
      <c r="B33" s="2" t="s">
        <v>111</v>
      </c>
      <c r="C33" s="1" t="s">
        <v>112</v>
      </c>
      <c r="D33" s="3">
        <v>4530.0</v>
      </c>
      <c r="E33" s="3">
        <v>50.0</v>
      </c>
      <c r="F33" s="3">
        <v>50.0</v>
      </c>
      <c r="G33" s="3">
        <v>70.0</v>
      </c>
      <c r="H33" s="3">
        <v>1262.0</v>
      </c>
      <c r="I33" s="3">
        <v>130.0</v>
      </c>
      <c r="J33" s="7">
        <f t="shared" si="1"/>
        <v>6092</v>
      </c>
      <c r="K33" s="8" t="str">
        <f t="shared" si="2"/>
        <v>Medium-High (4,751–6,630$ – Top 50–75%)</v>
      </c>
      <c r="L33" s="8" t="str">
        <f t="shared" si="3"/>
        <v>Paid Something</v>
      </c>
      <c r="M33" s="8">
        <f t="shared" si="4"/>
        <v>5</v>
      </c>
      <c r="N33" s="8">
        <f>IFERROR(__xludf.DUMMYFUNCTION("IF(C33="""", 0, SUM(ARRAYFORMULA(IF(SPLIT(C33, "","")=""0"", 1, 0))))"),0.0)</f>
        <v>0</v>
      </c>
      <c r="O33" s="8" t="str">
        <f t="shared" si="5"/>
        <v>No</v>
      </c>
      <c r="P33" s="7">
        <f>IFERROR(__xludf.DUMMYFUNCTION("IF(C33="""", 0,
  SUM(
    ARRAYFORMULA(
      IFERROR(
        VALUE(REGEXREPLACE(TRIM(SPLIT(REGEXREPLACE(C33, ""[\[\]]"", """"), "","")), ""[^0-9.]"", """")),
        0
      )
    )
  )
)"),6709.0)</f>
        <v>6709</v>
      </c>
      <c r="Q33" s="7">
        <f t="shared" si="6"/>
        <v>1341.8</v>
      </c>
    </row>
    <row r="34">
      <c r="A34" s="1" t="s">
        <v>113</v>
      </c>
      <c r="B34" s="2" t="s">
        <v>114</v>
      </c>
      <c r="C34" s="1" t="s">
        <v>115</v>
      </c>
      <c r="D34" s="3">
        <v>4500.0</v>
      </c>
      <c r="E34" s="3">
        <v>700.0</v>
      </c>
      <c r="F34" s="3">
        <v>1500.0</v>
      </c>
      <c r="G34" s="3">
        <v>1000.0</v>
      </c>
      <c r="H34" s="3">
        <v>2220.0</v>
      </c>
      <c r="I34" s="3">
        <v>825.0</v>
      </c>
      <c r="J34" s="7">
        <f t="shared" si="1"/>
        <v>10745</v>
      </c>
      <c r="K34" s="8" t="str">
        <f t="shared" si="2"/>
        <v>High (&gt;6,630$ – Top ~25%)</v>
      </c>
      <c r="L34" s="8" t="str">
        <f t="shared" si="3"/>
        <v>Paid Something</v>
      </c>
      <c r="M34" s="8">
        <f t="shared" si="4"/>
        <v>12</v>
      </c>
      <c r="N34" s="8">
        <f>IFERROR(__xludf.DUMMYFUNCTION("IF(C34="""", 0, SUM(ARRAYFORMULA(IF(SPLIT(C34, "","")=""0"", 1, 0))))"),0.0)</f>
        <v>0</v>
      </c>
      <c r="O34" s="8" t="str">
        <f t="shared" si="5"/>
        <v>No</v>
      </c>
      <c r="P34" s="7">
        <f>IFERROR(__xludf.DUMMYFUNCTION("IF(C34="""", 0,
  SUM(
    ARRAYFORMULA(
      IFERROR(
        VALUE(REGEXREPLACE(TRIM(SPLIT(REGEXREPLACE(C34, ""[\[\]]"", """"), "","")), ""[^0-9.]"", """")),
        0
      )
    )
  )
)"),22800.0)</f>
        <v>22800</v>
      </c>
      <c r="Q34" s="7">
        <f t="shared" si="6"/>
        <v>1900</v>
      </c>
    </row>
    <row r="35">
      <c r="A35" s="1" t="s">
        <v>116</v>
      </c>
      <c r="B35" s="2" t="s">
        <v>117</v>
      </c>
      <c r="C35" s="1" t="s">
        <v>118</v>
      </c>
      <c r="D35" s="3">
        <v>4500.0</v>
      </c>
      <c r="E35" s="3">
        <v>1650.0</v>
      </c>
      <c r="F35" s="3">
        <v>1900.0</v>
      </c>
      <c r="G35" s="3">
        <v>650.0</v>
      </c>
      <c r="H35" s="3">
        <v>2000.0</v>
      </c>
      <c r="I35" s="3">
        <v>1605.0</v>
      </c>
      <c r="J35" s="7">
        <f t="shared" si="1"/>
        <v>12305</v>
      </c>
      <c r="K35" s="8" t="str">
        <f t="shared" si="2"/>
        <v>High (&gt;6,630$ – Top ~25%)</v>
      </c>
      <c r="L35" s="8" t="str">
        <f t="shared" si="3"/>
        <v>Paid Something</v>
      </c>
      <c r="M35" s="8">
        <f t="shared" si="4"/>
        <v>5</v>
      </c>
      <c r="N35" s="8">
        <f>IFERROR(__xludf.DUMMYFUNCTION("IF(C35="""", 0, SUM(ARRAYFORMULA(IF(SPLIT(C35, "","")=""0"", 1, 0))))"),0.0)</f>
        <v>0</v>
      </c>
      <c r="O35" s="8" t="str">
        <f t="shared" si="5"/>
        <v>No</v>
      </c>
      <c r="P35" s="7">
        <f>IFERROR(__xludf.DUMMYFUNCTION("IF(C35="""", 0,
  SUM(
    ARRAYFORMULA(
      IFERROR(
        VALUE(REGEXREPLACE(TRIM(SPLIT(REGEXREPLACE(C35, ""[\[\]]"", """"), "","")), ""[^0-9.]"", """")),
        0
      )
    )
  )
)"),20775.0)</f>
        <v>20775</v>
      </c>
      <c r="Q35" s="7">
        <f t="shared" si="6"/>
        <v>4155</v>
      </c>
    </row>
    <row r="36">
      <c r="A36" s="1" t="s">
        <v>119</v>
      </c>
      <c r="B36" s="2" t="s">
        <v>120</v>
      </c>
      <c r="C36" s="1" t="s">
        <v>121</v>
      </c>
      <c r="D36" s="3">
        <v>4500.0</v>
      </c>
      <c r="E36" s="3">
        <v>1500.0</v>
      </c>
      <c r="F36" s="3">
        <v>3900.0</v>
      </c>
      <c r="G36" s="3">
        <v>2000.0</v>
      </c>
      <c r="H36" s="3">
        <v>5680.0</v>
      </c>
      <c r="I36" s="3">
        <v>2000.0</v>
      </c>
      <c r="J36" s="7">
        <f t="shared" si="1"/>
        <v>19580</v>
      </c>
      <c r="K36" s="8" t="str">
        <f t="shared" si="2"/>
        <v>High (&gt;6,630$ – Top ~25%)</v>
      </c>
      <c r="L36" s="8" t="str">
        <f t="shared" si="3"/>
        <v>Paid Something</v>
      </c>
      <c r="M36" s="8">
        <f t="shared" si="4"/>
        <v>5</v>
      </c>
      <c r="N36" s="8">
        <f>IFERROR(__xludf.DUMMYFUNCTION("IF(C36="""", 0, SUM(ARRAYFORMULA(IF(SPLIT(C36, "","")=""0"", 1, 0))))"),0.0)</f>
        <v>0</v>
      </c>
      <c r="O36" s="8" t="str">
        <f t="shared" si="5"/>
        <v>No</v>
      </c>
      <c r="P36" s="7">
        <f>IFERROR(__xludf.DUMMYFUNCTION("IF(C36="""", 0,
  SUM(
    ARRAYFORMULA(
      IFERROR(
        VALUE(REGEXREPLACE(TRIM(SPLIT(REGEXREPLACE(C36, ""[\[\]]"", """"), "","")), ""[^0-9.]"", """")),
        0
      )
    )
  )
)"),13500.0)</f>
        <v>13500</v>
      </c>
      <c r="Q36" s="7">
        <f t="shared" si="6"/>
        <v>2700</v>
      </c>
    </row>
    <row r="37">
      <c r="A37" s="1" t="s">
        <v>122</v>
      </c>
      <c r="B37" s="2" t="s">
        <v>123</v>
      </c>
      <c r="C37" s="1" t="s">
        <v>124</v>
      </c>
      <c r="D37" s="3">
        <v>4410.0</v>
      </c>
      <c r="E37" s="3">
        <v>4200.0</v>
      </c>
      <c r="F37" s="3">
        <v>2000.0</v>
      </c>
      <c r="G37" s="3">
        <v>550.0</v>
      </c>
      <c r="H37" s="3">
        <v>510.0</v>
      </c>
      <c r="I37" s="3">
        <v>1740.0</v>
      </c>
      <c r="J37" s="7">
        <f t="shared" si="1"/>
        <v>13410</v>
      </c>
      <c r="K37" s="8" t="str">
        <f t="shared" si="2"/>
        <v>High (&gt;6,630$ – Top ~25%)</v>
      </c>
      <c r="L37" s="8" t="str">
        <f t="shared" si="3"/>
        <v>Paid Something</v>
      </c>
      <c r="M37" s="8">
        <f t="shared" si="4"/>
        <v>22</v>
      </c>
      <c r="N37" s="8">
        <f>IFERROR(__xludf.DUMMYFUNCTION("IF(C37="""", 0, SUM(ARRAYFORMULA(IF(SPLIT(C37, "","")=""0"", 1, 0))))"),0.0)</f>
        <v>0</v>
      </c>
      <c r="O37" s="8" t="str">
        <f t="shared" si="5"/>
        <v>No</v>
      </c>
      <c r="P37" s="7">
        <f>IFERROR(__xludf.DUMMYFUNCTION("IF(C37="""", 0,
  SUM(
    ARRAYFORMULA(
      IFERROR(
        VALUE(REGEXREPLACE(TRIM(SPLIT(REGEXREPLACE(C37, ""[\[\]]"", """"), "","")), ""[^0-9.]"", """")),
        0
      )
    )
  )
)"),19675.0)</f>
        <v>19675</v>
      </c>
      <c r="Q37" s="7">
        <f t="shared" si="6"/>
        <v>894.3181818</v>
      </c>
    </row>
    <row r="38">
      <c r="A38" s="1" t="s">
        <v>125</v>
      </c>
      <c r="B38" s="2" t="s">
        <v>30</v>
      </c>
      <c r="C38" s="1" t="s">
        <v>126</v>
      </c>
      <c r="D38" s="3">
        <v>4400.0</v>
      </c>
      <c r="E38" s="3">
        <v>1500.0</v>
      </c>
      <c r="F38" s="3">
        <v>2270.0</v>
      </c>
      <c r="G38" s="3">
        <v>1062.0</v>
      </c>
      <c r="H38" s="3">
        <v>95.0</v>
      </c>
      <c r="I38" s="3">
        <v>245.0</v>
      </c>
      <c r="J38" s="7">
        <f t="shared" si="1"/>
        <v>9572</v>
      </c>
      <c r="K38" s="8" t="str">
        <f t="shared" si="2"/>
        <v>High (&gt;6,630$ – Top ~25%)</v>
      </c>
      <c r="L38" s="8" t="str">
        <f t="shared" si="3"/>
        <v>Paid Something</v>
      </c>
      <c r="M38" s="8">
        <f t="shared" si="4"/>
        <v>18</v>
      </c>
      <c r="N38" s="8">
        <f>IFERROR(__xludf.DUMMYFUNCTION("IF(C38="""", 0, SUM(ARRAYFORMULA(IF(SPLIT(C38, "","")=""0"", 1, 0))))"),0.0)</f>
        <v>0</v>
      </c>
      <c r="O38" s="8" t="str">
        <f t="shared" si="5"/>
        <v>No</v>
      </c>
      <c r="P38" s="7">
        <f>IFERROR(__xludf.DUMMYFUNCTION("IF(C38="""", 0,
  SUM(
    ARRAYFORMULA(
      IFERROR(
        VALUE(REGEXREPLACE(TRIM(SPLIT(REGEXREPLACE(C38, ""[\[\]]"", """"), "","")), ""[^0-9.]"", """")),
        0
      )
    )
  )
)"),47732.0)</f>
        <v>47732</v>
      </c>
      <c r="Q38" s="7">
        <f t="shared" si="6"/>
        <v>2651.777778</v>
      </c>
    </row>
    <row r="39">
      <c r="A39" s="1" t="s">
        <v>127</v>
      </c>
      <c r="B39" s="2" t="s">
        <v>128</v>
      </c>
      <c r="C39" s="1" t="s">
        <v>129</v>
      </c>
      <c r="D39" s="3">
        <v>4400.0</v>
      </c>
      <c r="E39" s="3">
        <v>2200.0</v>
      </c>
      <c r="F39" s="3">
        <v>2200.0</v>
      </c>
      <c r="G39" s="3">
        <v>1155.0</v>
      </c>
      <c r="H39" s="3">
        <v>2270.0</v>
      </c>
      <c r="I39" s="3">
        <v>219.0</v>
      </c>
      <c r="J39" s="7">
        <f t="shared" si="1"/>
        <v>12444</v>
      </c>
      <c r="K39" s="8" t="str">
        <f t="shared" si="2"/>
        <v>High (&gt;6,630$ – Top ~25%)</v>
      </c>
      <c r="L39" s="8" t="str">
        <f t="shared" si="3"/>
        <v>Paid Something</v>
      </c>
      <c r="M39" s="8">
        <f t="shared" si="4"/>
        <v>11</v>
      </c>
      <c r="N39" s="8">
        <f>IFERROR(__xludf.DUMMYFUNCTION("IF(C39="""", 0, SUM(ARRAYFORMULA(IF(SPLIT(C39, "","")=""0"", 1, 0))))"),0.0)</f>
        <v>0</v>
      </c>
      <c r="O39" s="8" t="str">
        <f t="shared" si="5"/>
        <v>No</v>
      </c>
      <c r="P39" s="7">
        <f>IFERROR(__xludf.DUMMYFUNCTION("IF(C39="""", 0,
  SUM(
    ARRAYFORMULA(
      IFERROR(
        VALUE(REGEXREPLACE(TRIM(SPLIT(REGEXREPLACE(C39, ""[\[\]]"", """"), "","")), ""[^0-9.]"", """")),
        0
      )
    )
  )
)"),20856.0)</f>
        <v>20856</v>
      </c>
      <c r="Q39" s="7">
        <f t="shared" si="6"/>
        <v>1896</v>
      </c>
    </row>
    <row r="40">
      <c r="A40" s="1" t="s">
        <v>130</v>
      </c>
      <c r="B40" s="2" t="s">
        <v>131</v>
      </c>
      <c r="C40" s="1" t="s">
        <v>132</v>
      </c>
      <c r="D40" s="3">
        <v>4305.0</v>
      </c>
      <c r="E40" s="3">
        <v>3000.0</v>
      </c>
      <c r="F40" s="3">
        <v>3110.0</v>
      </c>
      <c r="G40" s="3">
        <v>2100.0</v>
      </c>
      <c r="H40" s="3">
        <v>2385.0</v>
      </c>
      <c r="I40" s="3">
        <v>700.0</v>
      </c>
      <c r="J40" s="7">
        <f t="shared" si="1"/>
        <v>15600</v>
      </c>
      <c r="K40" s="8" t="str">
        <f t="shared" si="2"/>
        <v>High (&gt;6,630$ – Top ~25%)</v>
      </c>
      <c r="L40" s="8" t="str">
        <f t="shared" si="3"/>
        <v>Paid Something</v>
      </c>
      <c r="M40" s="8">
        <f t="shared" si="4"/>
        <v>12</v>
      </c>
      <c r="N40" s="8">
        <f>IFERROR(__xludf.DUMMYFUNCTION("IF(C40="""", 0, SUM(ARRAYFORMULA(IF(SPLIT(C40, "","")=""0"", 1, 0))))"),0.0)</f>
        <v>0</v>
      </c>
      <c r="O40" s="8" t="str">
        <f t="shared" si="5"/>
        <v>No</v>
      </c>
      <c r="P40" s="7">
        <f>IFERROR(__xludf.DUMMYFUNCTION("IF(C40="""", 0,
  SUM(
    ARRAYFORMULA(
      IFERROR(
        VALUE(REGEXREPLACE(TRIM(SPLIT(REGEXREPLACE(C40, ""[\[\]]"", """"), "","")), ""[^0-9.]"", """")),
        0
      )
    )
  )
)"),42500.0)</f>
        <v>42500</v>
      </c>
      <c r="Q40" s="7">
        <f t="shared" si="6"/>
        <v>3541.666667</v>
      </c>
    </row>
    <row r="41">
      <c r="A41" s="1" t="s">
        <v>133</v>
      </c>
      <c r="B41" s="2" t="s">
        <v>134</v>
      </c>
      <c r="C41" s="1" t="s">
        <v>135</v>
      </c>
      <c r="D41" s="3">
        <v>4000.0</v>
      </c>
      <c r="E41" s="3">
        <v>1000.0</v>
      </c>
      <c r="F41" s="3">
        <v>1000.0</v>
      </c>
      <c r="G41" s="3">
        <v>1500.0</v>
      </c>
      <c r="H41" s="3">
        <v>1550.0</v>
      </c>
      <c r="I41" s="3">
        <v>2900.0</v>
      </c>
      <c r="J41" s="7">
        <f t="shared" si="1"/>
        <v>11950</v>
      </c>
      <c r="K41" s="8" t="str">
        <f t="shared" si="2"/>
        <v>High (&gt;6,630$ – Top ~25%)</v>
      </c>
      <c r="L41" s="8" t="str">
        <f t="shared" si="3"/>
        <v>Paid Something</v>
      </c>
      <c r="M41" s="8">
        <f t="shared" si="4"/>
        <v>11</v>
      </c>
      <c r="N41" s="8">
        <f>IFERROR(__xludf.DUMMYFUNCTION("IF(C41="""", 0, SUM(ARRAYFORMULA(IF(SPLIT(C41, "","")=""0"", 1, 0))))"),0.0)</f>
        <v>0</v>
      </c>
      <c r="O41" s="8" t="str">
        <f t="shared" si="5"/>
        <v>No</v>
      </c>
      <c r="P41" s="7">
        <f>IFERROR(__xludf.DUMMYFUNCTION("IF(C41="""", 0,
  SUM(
    ARRAYFORMULA(
      IFERROR(
        VALUE(REGEXREPLACE(TRIM(SPLIT(REGEXREPLACE(C41, ""[\[\]]"", """"), "","")), ""[^0-9.]"", """")),
        0
      )
    )
  )
)"),21130.0)</f>
        <v>21130</v>
      </c>
      <c r="Q41" s="7">
        <f t="shared" si="6"/>
        <v>1920.909091</v>
      </c>
    </row>
    <row r="42">
      <c r="A42" s="1" t="s">
        <v>136</v>
      </c>
      <c r="B42" s="2" t="s">
        <v>137</v>
      </c>
      <c r="C42" s="1" t="s">
        <v>138</v>
      </c>
      <c r="D42" s="3">
        <v>4000.0</v>
      </c>
      <c r="E42" s="3">
        <v>4500.0</v>
      </c>
      <c r="F42" s="3">
        <v>900.0</v>
      </c>
      <c r="G42" s="3">
        <v>3150.0</v>
      </c>
      <c r="H42" s="3">
        <v>2000.0</v>
      </c>
      <c r="I42" s="3">
        <v>2132.0</v>
      </c>
      <c r="J42" s="7">
        <f t="shared" si="1"/>
        <v>16682</v>
      </c>
      <c r="K42" s="8" t="str">
        <f t="shared" si="2"/>
        <v>High (&gt;6,630$ – Top ~25%)</v>
      </c>
      <c r="L42" s="8" t="str">
        <f t="shared" si="3"/>
        <v>Paid Something</v>
      </c>
      <c r="M42" s="8">
        <f t="shared" si="4"/>
        <v>13</v>
      </c>
      <c r="N42" s="8">
        <f>IFERROR(__xludf.DUMMYFUNCTION("IF(C42="""", 0, SUM(ARRAYFORMULA(IF(SPLIT(C42, "","")=""0"", 1, 0))))"),0.0)</f>
        <v>0</v>
      </c>
      <c r="O42" s="8" t="str">
        <f t="shared" si="5"/>
        <v>No</v>
      </c>
      <c r="P42" s="7">
        <f>IFERROR(__xludf.DUMMYFUNCTION("IF(C42="""", 0,
  SUM(
    ARRAYFORMULA(
      IFERROR(
        VALUE(REGEXREPLACE(TRIM(SPLIT(REGEXREPLACE(C42, ""[\[\]]"", """"), "","")), ""[^0-9.]"", """")),
        0
      )
    )
  )
)"),40278.0)</f>
        <v>40278</v>
      </c>
      <c r="Q42" s="7">
        <f t="shared" si="6"/>
        <v>3098.307692</v>
      </c>
    </row>
    <row r="43">
      <c r="A43" s="1" t="s">
        <v>139</v>
      </c>
      <c r="B43" s="2" t="s">
        <v>45</v>
      </c>
      <c r="C43" s="1" t="s">
        <v>140</v>
      </c>
      <c r="D43" s="3">
        <v>4000.0</v>
      </c>
      <c r="E43" s="3">
        <v>4000.0</v>
      </c>
      <c r="F43" s="3">
        <v>4000.0</v>
      </c>
      <c r="G43" s="3">
        <v>5000.0</v>
      </c>
      <c r="H43" s="3">
        <v>1000.0</v>
      </c>
      <c r="I43" s="3">
        <v>2084.0</v>
      </c>
      <c r="J43" s="7">
        <f t="shared" si="1"/>
        <v>20084</v>
      </c>
      <c r="K43" s="8" t="str">
        <f t="shared" si="2"/>
        <v>High (&gt;6,630$ – Top ~25%)</v>
      </c>
      <c r="L43" s="8" t="str">
        <f t="shared" si="3"/>
        <v>Paid Something</v>
      </c>
      <c r="M43" s="8">
        <f t="shared" si="4"/>
        <v>5</v>
      </c>
      <c r="N43" s="8">
        <f>IFERROR(__xludf.DUMMYFUNCTION("IF(C43="""", 0, SUM(ARRAYFORMULA(IF(SPLIT(C43, "","")=""0"", 1, 0))))"),0.0)</f>
        <v>0</v>
      </c>
      <c r="O43" s="8" t="str">
        <f t="shared" si="5"/>
        <v>No</v>
      </c>
      <c r="P43" s="7">
        <f>IFERROR(__xludf.DUMMYFUNCTION("IF(C43="""", 0,
  SUM(
    ARRAYFORMULA(
      IFERROR(
        VALUE(REGEXREPLACE(TRIM(SPLIT(REGEXREPLACE(C43, ""[\[\]]"", """"), "","")), ""[^0-9.]"", """")),
        0
      )
    )
  )
)"),13000.0)</f>
        <v>13000</v>
      </c>
      <c r="Q43" s="7">
        <f t="shared" si="6"/>
        <v>2600</v>
      </c>
    </row>
    <row r="44">
      <c r="A44" s="1" t="s">
        <v>141</v>
      </c>
      <c r="B44" s="2" t="s">
        <v>142</v>
      </c>
      <c r="C44" s="1" t="s">
        <v>143</v>
      </c>
      <c r="D44" s="3">
        <v>4000.0</v>
      </c>
      <c r="E44" s="3">
        <v>4000.0</v>
      </c>
      <c r="F44" s="3">
        <v>12300.0</v>
      </c>
      <c r="G44" s="3">
        <v>2000.0</v>
      </c>
      <c r="H44" s="3">
        <v>6400.0</v>
      </c>
      <c r="I44" s="3">
        <v>3083.0</v>
      </c>
      <c r="J44" s="7">
        <f t="shared" si="1"/>
        <v>31783</v>
      </c>
      <c r="K44" s="8" t="str">
        <f t="shared" si="2"/>
        <v>High (&gt;6,630$ – Top ~25%)</v>
      </c>
      <c r="L44" s="8" t="str">
        <f t="shared" si="3"/>
        <v>Paid Something</v>
      </c>
      <c r="M44" s="8">
        <f t="shared" si="4"/>
        <v>6</v>
      </c>
      <c r="N44" s="8">
        <f>IFERROR(__xludf.DUMMYFUNCTION("IF(C44="""", 0, SUM(ARRAYFORMULA(IF(SPLIT(C44, "","")=""0"", 1, 0))))"),0.0)</f>
        <v>0</v>
      </c>
      <c r="O44" s="8" t="str">
        <f t="shared" si="5"/>
        <v>No</v>
      </c>
      <c r="P44" s="7">
        <f>IFERROR(__xludf.DUMMYFUNCTION("IF(C44="""", 0,
  SUM(
    ARRAYFORMULA(
      IFERROR(
        VALUE(REGEXREPLACE(TRIM(SPLIT(REGEXREPLACE(C44, ""[\[\]]"", """"), "","")), ""[^0-9.]"", """")),
        0
      )
    )
  )
)"),25177.0)</f>
        <v>25177</v>
      </c>
      <c r="Q44" s="7">
        <f t="shared" si="6"/>
        <v>4196.166667</v>
      </c>
    </row>
    <row r="45">
      <c r="A45" s="1" t="s">
        <v>144</v>
      </c>
      <c r="B45" s="2" t="s">
        <v>145</v>
      </c>
      <c r="C45" s="1" t="s">
        <v>146</v>
      </c>
      <c r="D45" s="3">
        <v>4000.0</v>
      </c>
      <c r="E45" s="3">
        <v>1000.0</v>
      </c>
      <c r="F45" s="3">
        <v>4000.0</v>
      </c>
      <c r="G45" s="3">
        <v>4055.0</v>
      </c>
      <c r="H45" s="3">
        <v>2000.0</v>
      </c>
      <c r="I45" s="3">
        <v>2029.0</v>
      </c>
      <c r="J45" s="7">
        <f t="shared" si="1"/>
        <v>17084</v>
      </c>
      <c r="K45" s="8" t="str">
        <f t="shared" si="2"/>
        <v>High (&gt;6,630$ – Top ~25%)</v>
      </c>
      <c r="L45" s="8" t="str">
        <f t="shared" si="3"/>
        <v>Paid Something</v>
      </c>
      <c r="M45" s="8">
        <f t="shared" si="4"/>
        <v>5</v>
      </c>
      <c r="N45" s="8">
        <f>IFERROR(__xludf.DUMMYFUNCTION("IF(C45="""", 0, SUM(ARRAYFORMULA(IF(SPLIT(C45, "","")=""0"", 1, 0))))"),0.0)</f>
        <v>0</v>
      </c>
      <c r="O45" s="8" t="str">
        <f t="shared" si="5"/>
        <v>No</v>
      </c>
      <c r="P45" s="7">
        <f>IFERROR(__xludf.DUMMYFUNCTION("IF(C45="""", 0,
  SUM(
    ARRAYFORMULA(
      IFERROR(
        VALUE(REGEXREPLACE(TRIM(SPLIT(REGEXREPLACE(C45, ""[\[\]]"", """"), "","")), ""[^0-9.]"", """")),
        0
      )
    )
  )
)"),16000.0)</f>
        <v>16000</v>
      </c>
      <c r="Q45" s="7">
        <f t="shared" si="6"/>
        <v>3200</v>
      </c>
    </row>
    <row r="46">
      <c r="A46" s="1" t="s">
        <v>147</v>
      </c>
      <c r="B46" s="2" t="s">
        <v>148</v>
      </c>
      <c r="C46" s="1" t="s">
        <v>149</v>
      </c>
      <c r="D46" s="3">
        <v>4000.0</v>
      </c>
      <c r="E46" s="3">
        <v>4000.0</v>
      </c>
      <c r="F46" s="3">
        <v>4000.0</v>
      </c>
      <c r="G46" s="3">
        <v>4000.0</v>
      </c>
      <c r="H46" s="3">
        <v>4000.0</v>
      </c>
      <c r="I46" s="3">
        <v>4000.0</v>
      </c>
      <c r="J46" s="7">
        <f t="shared" si="1"/>
        <v>24000</v>
      </c>
      <c r="K46" s="8" t="str">
        <f t="shared" si="2"/>
        <v>High (&gt;6,630$ – Top ~25%)</v>
      </c>
      <c r="L46" s="8" t="str">
        <f t="shared" si="3"/>
        <v>Paid Something</v>
      </c>
      <c r="M46" s="8">
        <f t="shared" si="4"/>
        <v>5</v>
      </c>
      <c r="N46" s="8">
        <f>IFERROR(__xludf.DUMMYFUNCTION("IF(C46="""", 0, SUM(ARRAYFORMULA(IF(SPLIT(C46, "","")=""0"", 1, 0))))"),0.0)</f>
        <v>0</v>
      </c>
      <c r="O46" s="8" t="str">
        <f t="shared" si="5"/>
        <v>No</v>
      </c>
      <c r="P46" s="7">
        <f>IFERROR(__xludf.DUMMYFUNCTION("IF(C46="""", 0,
  SUM(
    ARRAYFORMULA(
      IFERROR(
        VALUE(REGEXREPLACE(TRIM(SPLIT(REGEXREPLACE(C46, ""[\[\]]"", """"), "","")), ""[^0-9.]"", """")),
        0
      )
    )
  )
)"),24000.0)</f>
        <v>24000</v>
      </c>
      <c r="Q46" s="7">
        <f t="shared" si="6"/>
        <v>4800</v>
      </c>
    </row>
    <row r="47">
      <c r="A47" s="1" t="s">
        <v>150</v>
      </c>
      <c r="B47" s="2" t="s">
        <v>151</v>
      </c>
      <c r="C47" s="1" t="s">
        <v>152</v>
      </c>
      <c r="D47" s="3">
        <v>4000.0</v>
      </c>
      <c r="E47" s="3">
        <v>2000.0</v>
      </c>
      <c r="F47" s="3">
        <v>4955.0</v>
      </c>
      <c r="G47" s="3">
        <v>2600.0</v>
      </c>
      <c r="H47" s="3">
        <v>1000.0</v>
      </c>
      <c r="I47" s="3">
        <v>1064.0</v>
      </c>
      <c r="J47" s="7">
        <f t="shared" si="1"/>
        <v>15619</v>
      </c>
      <c r="K47" s="8" t="str">
        <f t="shared" si="2"/>
        <v>High (&gt;6,630$ – Top ~25%)</v>
      </c>
      <c r="L47" s="8" t="str">
        <f t="shared" si="3"/>
        <v>Paid Something</v>
      </c>
      <c r="M47" s="8">
        <f t="shared" si="4"/>
        <v>14</v>
      </c>
      <c r="N47" s="8">
        <f>IFERROR(__xludf.DUMMYFUNCTION("IF(C47="""", 0, SUM(ARRAYFORMULA(IF(SPLIT(C47, "","")=""0"", 1, 0))))"),0.0)</f>
        <v>0</v>
      </c>
      <c r="O47" s="8" t="str">
        <f t="shared" si="5"/>
        <v>No</v>
      </c>
      <c r="P47" s="7">
        <f>IFERROR(__xludf.DUMMYFUNCTION("IF(C47="""", 0,
  SUM(
    ARRAYFORMULA(
      IFERROR(
        VALUE(REGEXREPLACE(TRIM(SPLIT(REGEXREPLACE(C47, ""[\[\]]"", """"), "","")), ""[^0-9.]"", """")),
        0
      )
    )
  )
)"),42200.0)</f>
        <v>42200</v>
      </c>
      <c r="Q47" s="7">
        <f t="shared" si="6"/>
        <v>3014.285714</v>
      </c>
    </row>
    <row r="48">
      <c r="A48" s="1" t="s">
        <v>153</v>
      </c>
      <c r="B48" s="2" t="s">
        <v>154</v>
      </c>
      <c r="C48" s="1" t="s">
        <v>155</v>
      </c>
      <c r="D48" s="3">
        <v>4000.0</v>
      </c>
      <c r="E48" s="3">
        <v>4000.0</v>
      </c>
      <c r="F48" s="3">
        <v>4000.0</v>
      </c>
      <c r="G48" s="3">
        <v>2000.0</v>
      </c>
      <c r="H48" s="3">
        <v>3000.0</v>
      </c>
      <c r="I48" s="3">
        <v>3584.0</v>
      </c>
      <c r="J48" s="7">
        <f t="shared" si="1"/>
        <v>20584</v>
      </c>
      <c r="K48" s="8" t="str">
        <f t="shared" si="2"/>
        <v>High (&gt;6,630$ – Top ~25%)</v>
      </c>
      <c r="L48" s="8" t="str">
        <f t="shared" si="3"/>
        <v>Paid Something</v>
      </c>
      <c r="M48" s="8">
        <f t="shared" si="4"/>
        <v>5</v>
      </c>
      <c r="N48" s="8">
        <f>IFERROR(__xludf.DUMMYFUNCTION("IF(C48="""", 0, SUM(ARRAYFORMULA(IF(SPLIT(C48, "","")=""0"", 1, 0))))"),0.0)</f>
        <v>0</v>
      </c>
      <c r="O48" s="8" t="str">
        <f t="shared" si="5"/>
        <v>No</v>
      </c>
      <c r="P48" s="7">
        <f>IFERROR(__xludf.DUMMYFUNCTION("IF(C48="""", 0,
  SUM(
    ARRAYFORMULA(
      IFERROR(
        VALUE(REGEXREPLACE(TRIM(SPLIT(REGEXREPLACE(C48, ""[\[\]]"", """"), "","")), ""[^0-9.]"", """")),
        0
      )
    )
  )
)"),12500.0)</f>
        <v>12500</v>
      </c>
      <c r="Q48" s="7">
        <f t="shared" si="6"/>
        <v>2500</v>
      </c>
    </row>
    <row r="49">
      <c r="A49" s="1" t="s">
        <v>156</v>
      </c>
      <c r="B49" s="2" t="s">
        <v>157</v>
      </c>
      <c r="C49" s="1" t="s">
        <v>158</v>
      </c>
      <c r="D49" s="3">
        <v>4000.0</v>
      </c>
      <c r="E49" s="3">
        <v>390.0</v>
      </c>
      <c r="F49" s="3">
        <v>2000.0</v>
      </c>
      <c r="G49" s="3">
        <v>2390.0</v>
      </c>
      <c r="H49" s="3">
        <v>5000.0</v>
      </c>
      <c r="I49" s="3">
        <v>5720.0</v>
      </c>
      <c r="J49" s="7">
        <f t="shared" si="1"/>
        <v>19500</v>
      </c>
      <c r="K49" s="8" t="str">
        <f t="shared" si="2"/>
        <v>High (&gt;6,630$ – Top ~25%)</v>
      </c>
      <c r="L49" s="8" t="str">
        <f t="shared" si="3"/>
        <v>Paid Something</v>
      </c>
      <c r="M49" s="8">
        <f t="shared" si="4"/>
        <v>11</v>
      </c>
      <c r="N49" s="8">
        <f>IFERROR(__xludf.DUMMYFUNCTION("IF(C49="""", 0, SUM(ARRAYFORMULA(IF(SPLIT(C49, "","")=""0"", 1, 0))))"),0.0)</f>
        <v>0</v>
      </c>
      <c r="O49" s="8" t="str">
        <f t="shared" si="5"/>
        <v>No</v>
      </c>
      <c r="P49" s="7">
        <f>IFERROR(__xludf.DUMMYFUNCTION("IF(C49="""", 0,
  SUM(
    ARRAYFORMULA(
      IFERROR(
        VALUE(REGEXREPLACE(TRIM(SPLIT(REGEXREPLACE(C49, ""[\[\]]"", """"), "","")), ""[^0-9.]"", """")),
        0
      )
    )
  )
)"),33730.0)</f>
        <v>33730</v>
      </c>
      <c r="Q49" s="7">
        <f t="shared" si="6"/>
        <v>3066.363636</v>
      </c>
    </row>
    <row r="50">
      <c r="A50" s="1" t="s">
        <v>159</v>
      </c>
      <c r="B50" s="2" t="s">
        <v>160</v>
      </c>
      <c r="C50" s="1" t="s">
        <v>149</v>
      </c>
      <c r="D50" s="3">
        <v>4000.0</v>
      </c>
      <c r="E50" s="3">
        <v>4000.0</v>
      </c>
      <c r="F50" s="3">
        <v>4000.0</v>
      </c>
      <c r="G50" s="3">
        <v>4000.0</v>
      </c>
      <c r="H50" s="3">
        <v>4000.0</v>
      </c>
      <c r="I50" s="3">
        <v>4000.0</v>
      </c>
      <c r="J50" s="7">
        <f t="shared" si="1"/>
        <v>24000</v>
      </c>
      <c r="K50" s="8" t="str">
        <f t="shared" si="2"/>
        <v>High (&gt;6,630$ – Top ~25%)</v>
      </c>
      <c r="L50" s="8" t="str">
        <f t="shared" si="3"/>
        <v>Paid Something</v>
      </c>
      <c r="M50" s="8">
        <f t="shared" si="4"/>
        <v>5</v>
      </c>
      <c r="N50" s="8">
        <f>IFERROR(__xludf.DUMMYFUNCTION("IF(C50="""", 0, SUM(ARRAYFORMULA(IF(SPLIT(C50, "","")=""0"", 1, 0))))"),0.0)</f>
        <v>0</v>
      </c>
      <c r="O50" s="8" t="str">
        <f t="shared" si="5"/>
        <v>No</v>
      </c>
      <c r="P50" s="7">
        <f>IFERROR(__xludf.DUMMYFUNCTION("IF(C50="""", 0,
  SUM(
    ARRAYFORMULA(
      IFERROR(
        VALUE(REGEXREPLACE(TRIM(SPLIT(REGEXREPLACE(C50, ""[\[\]]"", """"), "","")), ""[^0-9.]"", """")),
        0
      )
    )
  )
)"),24000.0)</f>
        <v>24000</v>
      </c>
      <c r="Q50" s="7">
        <f t="shared" si="6"/>
        <v>4800</v>
      </c>
    </row>
    <row r="51">
      <c r="A51" s="1" t="s">
        <v>161</v>
      </c>
      <c r="B51" s="2" t="s">
        <v>162</v>
      </c>
      <c r="C51" s="1" t="s">
        <v>163</v>
      </c>
      <c r="D51" s="3">
        <v>4000.0</v>
      </c>
      <c r="E51" s="3">
        <v>2000.0</v>
      </c>
      <c r="F51" s="3">
        <v>4000.0</v>
      </c>
      <c r="G51" s="3">
        <v>2000.0</v>
      </c>
      <c r="H51" s="3">
        <v>4000.0</v>
      </c>
      <c r="I51" s="3">
        <v>9939.0</v>
      </c>
      <c r="J51" s="7">
        <f t="shared" si="1"/>
        <v>25939</v>
      </c>
      <c r="K51" s="8" t="str">
        <f t="shared" si="2"/>
        <v>High (&gt;6,630$ – Top ~25%)</v>
      </c>
      <c r="L51" s="8" t="str">
        <f t="shared" si="3"/>
        <v>Paid Something</v>
      </c>
      <c r="M51" s="8">
        <f t="shared" si="4"/>
        <v>7</v>
      </c>
      <c r="N51" s="8">
        <f>IFERROR(__xludf.DUMMYFUNCTION("IF(C51="""", 0, SUM(ARRAYFORMULA(IF(SPLIT(C51, "","")=""0"", 1, 0))))"),0.0)</f>
        <v>0</v>
      </c>
      <c r="O51" s="8" t="str">
        <f t="shared" si="5"/>
        <v>No</v>
      </c>
      <c r="P51" s="7">
        <f>IFERROR(__xludf.DUMMYFUNCTION("IF(C51="""", 0,
  SUM(
    ARRAYFORMULA(
      IFERROR(
        VALUE(REGEXREPLACE(TRIM(SPLIT(REGEXREPLACE(C51, ""[\[\]]"", """"), "","")), ""[^0-9.]"", """")),
        0
      )
    )
  )
)"),31500.0)</f>
        <v>31500</v>
      </c>
      <c r="Q51" s="7">
        <f t="shared" si="6"/>
        <v>4500</v>
      </c>
    </row>
    <row r="52">
      <c r="A52" s="1" t="s">
        <v>164</v>
      </c>
      <c r="B52" s="2" t="s">
        <v>165</v>
      </c>
      <c r="C52" s="1" t="s">
        <v>166</v>
      </c>
      <c r="D52" s="3">
        <v>3870.0</v>
      </c>
      <c r="E52" s="3">
        <v>1055.0</v>
      </c>
      <c r="F52" s="3">
        <v>1500.0</v>
      </c>
      <c r="G52" s="3">
        <v>350.0</v>
      </c>
      <c r="H52" s="3">
        <v>1450.0</v>
      </c>
      <c r="I52" s="3">
        <v>1014.0</v>
      </c>
      <c r="J52" s="7">
        <f t="shared" si="1"/>
        <v>9239</v>
      </c>
      <c r="K52" s="8" t="str">
        <f t="shared" si="2"/>
        <v>High (&gt;6,630$ – Top ~25%)</v>
      </c>
      <c r="L52" s="8" t="str">
        <f t="shared" si="3"/>
        <v>Paid Something</v>
      </c>
      <c r="M52" s="8">
        <f t="shared" si="4"/>
        <v>16</v>
      </c>
      <c r="N52" s="8">
        <f>IFERROR(__xludf.DUMMYFUNCTION("IF(C52="""", 0, SUM(ARRAYFORMULA(IF(SPLIT(C52, "","")=""0"", 1, 0))))"),0.0)</f>
        <v>0</v>
      </c>
      <c r="O52" s="8" t="str">
        <f t="shared" si="5"/>
        <v>No</v>
      </c>
      <c r="P52" s="7">
        <f>IFERROR(__xludf.DUMMYFUNCTION("IF(C52="""", 0,
  SUM(
    ARRAYFORMULA(
      IFERROR(
        VALUE(REGEXREPLACE(TRIM(SPLIT(REGEXREPLACE(C52, ""[\[\]]"", """"), "","")), ""[^0-9.]"", """")),
        0
      )
    )
  )
)"),24116.0)</f>
        <v>24116</v>
      </c>
      <c r="Q52" s="7">
        <f t="shared" si="6"/>
        <v>1507.25</v>
      </c>
    </row>
    <row r="53">
      <c r="A53" s="1" t="s">
        <v>167</v>
      </c>
      <c r="B53" s="2" t="s">
        <v>168</v>
      </c>
      <c r="C53" s="1" t="s">
        <v>169</v>
      </c>
      <c r="D53" s="3">
        <v>3800.0</v>
      </c>
      <c r="E53" s="3">
        <v>1100.0</v>
      </c>
      <c r="F53" s="3">
        <v>1320.0</v>
      </c>
      <c r="G53" s="3">
        <v>1675.0</v>
      </c>
      <c r="H53" s="3">
        <v>2900.0</v>
      </c>
      <c r="I53" s="3">
        <v>220.0</v>
      </c>
      <c r="J53" s="7">
        <f t="shared" si="1"/>
        <v>11015</v>
      </c>
      <c r="K53" s="8" t="str">
        <f t="shared" si="2"/>
        <v>High (&gt;6,630$ – Top ~25%)</v>
      </c>
      <c r="L53" s="8" t="str">
        <f t="shared" si="3"/>
        <v>Paid Something</v>
      </c>
      <c r="M53" s="8">
        <f t="shared" si="4"/>
        <v>9</v>
      </c>
      <c r="N53" s="8">
        <f>IFERROR(__xludf.DUMMYFUNCTION("IF(C53="""", 0, SUM(ARRAYFORMULA(IF(SPLIT(C53, "","")=""0"", 1, 0))))"),0.0)</f>
        <v>0</v>
      </c>
      <c r="O53" s="8" t="str">
        <f t="shared" si="5"/>
        <v>No</v>
      </c>
      <c r="P53" s="7">
        <f>IFERROR(__xludf.DUMMYFUNCTION("IF(C53="""", 0,
  SUM(
    ARRAYFORMULA(
      IFERROR(
        VALUE(REGEXREPLACE(TRIM(SPLIT(REGEXREPLACE(C53, ""[\[\]]"", """"), "","")), ""[^0-9.]"", """")),
        0
      )
    )
  )
)"),22289.0)</f>
        <v>22289</v>
      </c>
      <c r="Q53" s="7">
        <f t="shared" si="6"/>
        <v>2476.555556</v>
      </c>
    </row>
    <row r="54">
      <c r="A54" s="1" t="s">
        <v>170</v>
      </c>
      <c r="B54" s="2" t="s">
        <v>171</v>
      </c>
      <c r="C54" s="1" t="s">
        <v>172</v>
      </c>
      <c r="D54" s="3">
        <v>3705.0</v>
      </c>
      <c r="E54" s="3">
        <v>1150.0</v>
      </c>
      <c r="F54" s="3">
        <v>1300.0</v>
      </c>
      <c r="G54" s="3">
        <v>1255.0</v>
      </c>
      <c r="H54" s="3">
        <v>1745.0</v>
      </c>
      <c r="I54" s="3">
        <v>500.0</v>
      </c>
      <c r="J54" s="7">
        <f t="shared" si="1"/>
        <v>9655</v>
      </c>
      <c r="K54" s="8" t="str">
        <f t="shared" si="2"/>
        <v>High (&gt;6,630$ – Top ~25%)</v>
      </c>
      <c r="L54" s="8" t="str">
        <f t="shared" si="3"/>
        <v>Paid Something</v>
      </c>
      <c r="M54" s="8">
        <f t="shared" si="4"/>
        <v>17</v>
      </c>
      <c r="N54" s="8">
        <f>IFERROR(__xludf.DUMMYFUNCTION("IF(C54="""", 0, SUM(ARRAYFORMULA(IF(SPLIT(C54, "","")=""0"", 1, 0))))"),0.0)</f>
        <v>0</v>
      </c>
      <c r="O54" s="8" t="str">
        <f t="shared" si="5"/>
        <v>No</v>
      </c>
      <c r="P54" s="7">
        <f>IFERROR(__xludf.DUMMYFUNCTION("IF(C54="""", 0,
  SUM(
    ARRAYFORMULA(
      IFERROR(
        VALUE(REGEXREPLACE(TRIM(SPLIT(REGEXREPLACE(C54, ""[\[\]]"", """"), "","")), ""[^0-9.]"", """")),
        0
      )
    )
  )
)"),23965.0)</f>
        <v>23965</v>
      </c>
      <c r="Q54" s="7">
        <f t="shared" si="6"/>
        <v>1409.705882</v>
      </c>
    </row>
    <row r="55">
      <c r="A55" s="1" t="s">
        <v>173</v>
      </c>
      <c r="B55" s="2" t="s">
        <v>174</v>
      </c>
      <c r="C55" s="1" t="s">
        <v>175</v>
      </c>
      <c r="D55" s="3">
        <v>3699.0</v>
      </c>
      <c r="E55" s="3">
        <v>999.0</v>
      </c>
      <c r="F55" s="3">
        <v>999.0</v>
      </c>
      <c r="G55" s="3">
        <v>4538.0</v>
      </c>
      <c r="H55" s="3">
        <v>55.0</v>
      </c>
      <c r="I55" s="3">
        <v>362.0</v>
      </c>
      <c r="J55" s="7">
        <f t="shared" si="1"/>
        <v>10652</v>
      </c>
      <c r="K55" s="8" t="str">
        <f t="shared" si="2"/>
        <v>High (&gt;6,630$ – Top ~25%)</v>
      </c>
      <c r="L55" s="8" t="str">
        <f t="shared" si="3"/>
        <v>Paid Something</v>
      </c>
      <c r="M55" s="8">
        <f t="shared" si="4"/>
        <v>27</v>
      </c>
      <c r="N55" s="8">
        <f>IFERROR(__xludf.DUMMYFUNCTION("IF(C55="""", 0, SUM(ARRAYFORMULA(IF(SPLIT(C55, "","")=""0"", 1, 0))))"),0.0)</f>
        <v>0</v>
      </c>
      <c r="O55" s="8" t="str">
        <f t="shared" si="5"/>
        <v>No</v>
      </c>
      <c r="P55" s="7">
        <f>IFERROR(__xludf.DUMMYFUNCTION("IF(C55="""", 0,
  SUM(
    ARRAYFORMULA(
      IFERROR(
        VALUE(REGEXREPLACE(TRIM(SPLIT(REGEXREPLACE(C55, ""[\[\]]"", """"), "","")), ""[^0-9.]"", """")),
        0
      )
    )
  )
)"),20203.0)</f>
        <v>20203</v>
      </c>
      <c r="Q55" s="7">
        <f t="shared" si="6"/>
        <v>748.2592593</v>
      </c>
    </row>
    <row r="56">
      <c r="A56" s="1" t="s">
        <v>176</v>
      </c>
      <c r="B56" s="2" t="s">
        <v>177</v>
      </c>
      <c r="C56" s="1" t="s">
        <v>178</v>
      </c>
      <c r="D56" s="3">
        <v>3630.0</v>
      </c>
      <c r="E56" s="3">
        <v>950.0</v>
      </c>
      <c r="F56" s="3">
        <v>1870.0</v>
      </c>
      <c r="G56" s="3">
        <v>1040.0</v>
      </c>
      <c r="H56" s="3">
        <v>1100.0</v>
      </c>
      <c r="I56" s="3">
        <v>495.0</v>
      </c>
      <c r="J56" s="7">
        <f t="shared" si="1"/>
        <v>9085</v>
      </c>
      <c r="K56" s="8" t="str">
        <f t="shared" si="2"/>
        <v>High (&gt;6,630$ – Top ~25%)</v>
      </c>
      <c r="L56" s="8" t="str">
        <f t="shared" si="3"/>
        <v>Paid Something</v>
      </c>
      <c r="M56" s="8">
        <f t="shared" si="4"/>
        <v>15</v>
      </c>
      <c r="N56" s="8">
        <f>IFERROR(__xludf.DUMMYFUNCTION("IF(C56="""", 0, SUM(ARRAYFORMULA(IF(SPLIT(C56, "","")=""0"", 1, 0))))"),0.0)</f>
        <v>0</v>
      </c>
      <c r="O56" s="8" t="str">
        <f t="shared" si="5"/>
        <v>No</v>
      </c>
      <c r="P56" s="7">
        <f>IFERROR(__xludf.DUMMYFUNCTION("IF(C56="""", 0,
  SUM(
    ARRAYFORMULA(
      IFERROR(
        VALUE(REGEXREPLACE(TRIM(SPLIT(REGEXREPLACE(C56, ""[\[\]]"", """"), "","")), ""[^0-9.]"", """")),
        0
      )
    )
  )
)"),23995.0)</f>
        <v>23995</v>
      </c>
      <c r="Q56" s="7">
        <f t="shared" si="6"/>
        <v>1599.666667</v>
      </c>
    </row>
    <row r="57">
      <c r="A57" s="1" t="s">
        <v>179</v>
      </c>
      <c r="B57" s="2" t="s">
        <v>180</v>
      </c>
      <c r="C57" s="1" t="s">
        <v>181</v>
      </c>
      <c r="D57" s="3">
        <v>3620.0</v>
      </c>
      <c r="E57" s="3">
        <v>200.0</v>
      </c>
      <c r="F57" s="3">
        <v>340.0</v>
      </c>
      <c r="G57" s="3">
        <v>200.0</v>
      </c>
      <c r="H57" s="3">
        <v>450.0</v>
      </c>
      <c r="I57" s="3">
        <v>350.0</v>
      </c>
      <c r="J57" s="7">
        <f t="shared" si="1"/>
        <v>5160</v>
      </c>
      <c r="K57" s="8" t="str">
        <f t="shared" si="2"/>
        <v>Medium-High (4,751–6,630$ – Top 50–75%)</v>
      </c>
      <c r="L57" s="8" t="str">
        <f t="shared" si="3"/>
        <v>Paid Something</v>
      </c>
      <c r="M57" s="8">
        <f t="shared" si="4"/>
        <v>7</v>
      </c>
      <c r="N57" s="8">
        <f>IFERROR(__xludf.DUMMYFUNCTION("IF(C57="""", 0, SUM(ARRAYFORMULA(IF(SPLIT(C57, "","")=""0"", 1, 0))))"),0.0)</f>
        <v>0</v>
      </c>
      <c r="O57" s="8" t="str">
        <f t="shared" si="5"/>
        <v>No</v>
      </c>
      <c r="P57" s="7">
        <f>IFERROR(__xludf.DUMMYFUNCTION("IF(C57="""", 0,
  SUM(
    ARRAYFORMULA(
      IFERROR(
        VALUE(REGEXREPLACE(TRIM(SPLIT(REGEXREPLACE(C57, ""[\[\]]"", """"), "","")), ""[^0-9.]"", """")),
        0
      )
    )
  )
)"),9180.0)</f>
        <v>9180</v>
      </c>
      <c r="Q57" s="7">
        <f t="shared" si="6"/>
        <v>1311.428571</v>
      </c>
    </row>
    <row r="58">
      <c r="A58" s="1" t="s">
        <v>182</v>
      </c>
      <c r="B58" s="2" t="s">
        <v>183</v>
      </c>
      <c r="C58" s="1" t="s">
        <v>184</v>
      </c>
      <c r="D58" s="3">
        <v>3555.0</v>
      </c>
      <c r="E58" s="3">
        <v>1500.0</v>
      </c>
      <c r="F58" s="3">
        <v>4200.0</v>
      </c>
      <c r="G58" s="3">
        <v>1099.0</v>
      </c>
      <c r="H58" s="3">
        <v>3183.0</v>
      </c>
      <c r="I58" s="3">
        <v>1762.0</v>
      </c>
      <c r="J58" s="7">
        <f t="shared" si="1"/>
        <v>15299</v>
      </c>
      <c r="K58" s="8" t="str">
        <f t="shared" si="2"/>
        <v>High (&gt;6,630$ – Top ~25%)</v>
      </c>
      <c r="L58" s="8" t="str">
        <f t="shared" si="3"/>
        <v>Paid Something</v>
      </c>
      <c r="M58" s="8">
        <f t="shared" si="4"/>
        <v>7</v>
      </c>
      <c r="N58" s="8">
        <f>IFERROR(__xludf.DUMMYFUNCTION("IF(C58="""", 0, SUM(ARRAYFORMULA(IF(SPLIT(C58, "","")=""0"", 1, 0))))"),0.0)</f>
        <v>0</v>
      </c>
      <c r="O58" s="8" t="str">
        <f t="shared" si="5"/>
        <v>No</v>
      </c>
      <c r="P58" s="7">
        <f>IFERROR(__xludf.DUMMYFUNCTION("IF(C58="""", 0,
  SUM(
    ARRAYFORMULA(
      IFERROR(
        VALUE(REGEXREPLACE(TRIM(SPLIT(REGEXREPLACE(C58, ""[\[\]]"", """"), "","")), ""[^0-9.]"", """")),
        0
      )
    )
  )
)"),41610.0)</f>
        <v>41610</v>
      </c>
      <c r="Q58" s="7">
        <f t="shared" si="6"/>
        <v>5944.285714</v>
      </c>
    </row>
    <row r="59">
      <c r="A59" s="1" t="s">
        <v>185</v>
      </c>
      <c r="B59" s="2" t="s">
        <v>186</v>
      </c>
      <c r="C59" s="1" t="s">
        <v>187</v>
      </c>
      <c r="D59" s="3">
        <v>3550.0</v>
      </c>
      <c r="E59" s="3">
        <v>1500.0</v>
      </c>
      <c r="F59" s="3">
        <v>2685.0</v>
      </c>
      <c r="G59" s="3">
        <v>2400.0</v>
      </c>
      <c r="H59" s="3">
        <v>3585.0</v>
      </c>
      <c r="I59" s="3">
        <v>1069.0</v>
      </c>
      <c r="J59" s="7">
        <f t="shared" si="1"/>
        <v>14789</v>
      </c>
      <c r="K59" s="8" t="str">
        <f t="shared" si="2"/>
        <v>High (&gt;6,630$ – Top ~25%)</v>
      </c>
      <c r="L59" s="8" t="str">
        <f t="shared" si="3"/>
        <v>Paid Something</v>
      </c>
      <c r="M59" s="8">
        <f t="shared" si="4"/>
        <v>25</v>
      </c>
      <c r="N59" s="8">
        <f>IFERROR(__xludf.DUMMYFUNCTION("IF(C59="""", 0, SUM(ARRAYFORMULA(IF(SPLIT(C59, "","")=""0"", 1, 0))))"),0.0)</f>
        <v>0</v>
      </c>
      <c r="O59" s="8" t="str">
        <f t="shared" si="5"/>
        <v>No</v>
      </c>
      <c r="P59" s="7">
        <f>IFERROR(__xludf.DUMMYFUNCTION("IF(C59="""", 0,
  SUM(
    ARRAYFORMULA(
      IFERROR(
        VALUE(REGEXREPLACE(TRIM(SPLIT(REGEXREPLACE(C59, ""[\[\]]"", """"), "","")), ""[^0-9.]"", """")),
        0
      )
    )
  )
)"),42460.0)</f>
        <v>42460</v>
      </c>
      <c r="Q59" s="7">
        <f t="shared" si="6"/>
        <v>1698.4</v>
      </c>
    </row>
    <row r="60">
      <c r="A60" s="1" t="s">
        <v>188</v>
      </c>
      <c r="B60" s="2" t="s">
        <v>189</v>
      </c>
      <c r="C60" s="1" t="s">
        <v>190</v>
      </c>
      <c r="D60" s="3">
        <v>3550.0</v>
      </c>
      <c r="E60" s="3">
        <v>1300.0</v>
      </c>
      <c r="F60" s="3">
        <v>1650.0</v>
      </c>
      <c r="G60" s="3">
        <v>3005.0</v>
      </c>
      <c r="H60" s="3">
        <v>400.0</v>
      </c>
      <c r="I60" s="3">
        <v>1930.0</v>
      </c>
      <c r="J60" s="7">
        <f t="shared" si="1"/>
        <v>11835</v>
      </c>
      <c r="K60" s="8" t="str">
        <f t="shared" si="2"/>
        <v>High (&gt;6,630$ – Top ~25%)</v>
      </c>
      <c r="L60" s="8" t="str">
        <f t="shared" si="3"/>
        <v>Paid Something</v>
      </c>
      <c r="M60" s="8">
        <f t="shared" si="4"/>
        <v>11</v>
      </c>
      <c r="N60" s="8">
        <f>IFERROR(__xludf.DUMMYFUNCTION("IF(C60="""", 0, SUM(ARRAYFORMULA(IF(SPLIT(C60, "","")=""0"", 1, 0))))"),0.0)</f>
        <v>0</v>
      </c>
      <c r="O60" s="8" t="str">
        <f t="shared" si="5"/>
        <v>No</v>
      </c>
      <c r="P60" s="7">
        <f>IFERROR(__xludf.DUMMYFUNCTION("IF(C60="""", 0,
  SUM(
    ARRAYFORMULA(
      IFERROR(
        VALUE(REGEXREPLACE(TRIM(SPLIT(REGEXREPLACE(C60, ""[\[\]]"", """"), "","")), ""[^0-9.]"", """")),
        0
      )
    )
  )
)"),21300.0)</f>
        <v>21300</v>
      </c>
      <c r="Q60" s="7">
        <f t="shared" si="6"/>
        <v>1936.363636</v>
      </c>
    </row>
    <row r="61">
      <c r="A61" s="1" t="s">
        <v>191</v>
      </c>
      <c r="B61" s="2" t="s">
        <v>192</v>
      </c>
      <c r="C61" s="1" t="s">
        <v>193</v>
      </c>
      <c r="D61" s="3">
        <v>3550.0</v>
      </c>
      <c r="E61" s="3">
        <v>1040.0</v>
      </c>
      <c r="F61" s="3">
        <v>1410.0</v>
      </c>
      <c r="G61" s="3">
        <v>1210.0</v>
      </c>
      <c r="H61" s="3">
        <v>1085.0</v>
      </c>
      <c r="I61" s="3">
        <v>715.0</v>
      </c>
      <c r="J61" s="7">
        <f t="shared" si="1"/>
        <v>9010</v>
      </c>
      <c r="K61" s="8" t="str">
        <f t="shared" si="2"/>
        <v>High (&gt;6,630$ – Top ~25%)</v>
      </c>
      <c r="L61" s="8" t="str">
        <f t="shared" si="3"/>
        <v>Paid Something</v>
      </c>
      <c r="M61" s="8">
        <f t="shared" si="4"/>
        <v>19</v>
      </c>
      <c r="N61" s="8">
        <f>IFERROR(__xludf.DUMMYFUNCTION("IF(C61="""", 0, SUM(ARRAYFORMULA(IF(SPLIT(C61, "","")=""0"", 1, 0))))"),0.0)</f>
        <v>0</v>
      </c>
      <c r="O61" s="8" t="str">
        <f t="shared" si="5"/>
        <v>No</v>
      </c>
      <c r="P61" s="7">
        <f>IFERROR(__xludf.DUMMYFUNCTION("IF(C61="""", 0,
  SUM(
    ARRAYFORMULA(
      IFERROR(
        VALUE(REGEXREPLACE(TRIM(SPLIT(REGEXREPLACE(C61, ""[\[\]]"", """"), "","")), ""[^0-9.]"", """")),
        0
      )
    )
  )
)"),24115.0)</f>
        <v>24115</v>
      </c>
      <c r="Q61" s="7">
        <f t="shared" si="6"/>
        <v>1269.210526</v>
      </c>
    </row>
    <row r="62">
      <c r="A62" s="1" t="s">
        <v>194</v>
      </c>
      <c r="B62" s="2" t="s">
        <v>195</v>
      </c>
      <c r="C62" s="1" t="s">
        <v>196</v>
      </c>
      <c r="D62" s="3">
        <v>3520.0</v>
      </c>
      <c r="E62" s="3">
        <v>1650.0</v>
      </c>
      <c r="F62" s="3">
        <v>440.0</v>
      </c>
      <c r="G62" s="3">
        <v>2475.0</v>
      </c>
      <c r="H62" s="3">
        <v>2200.0</v>
      </c>
      <c r="I62" s="3">
        <v>3235.0</v>
      </c>
      <c r="J62" s="7">
        <f t="shared" si="1"/>
        <v>13520</v>
      </c>
      <c r="K62" s="8" t="str">
        <f t="shared" si="2"/>
        <v>High (&gt;6,630$ – Top ~25%)</v>
      </c>
      <c r="L62" s="8" t="str">
        <f t="shared" si="3"/>
        <v>Paid Something</v>
      </c>
      <c r="M62" s="8">
        <f t="shared" si="4"/>
        <v>22</v>
      </c>
      <c r="N62" s="8">
        <f>IFERROR(__xludf.DUMMYFUNCTION("IF(C62="""", 0, SUM(ARRAYFORMULA(IF(SPLIT(C62, "","")=""0"", 1, 0))))"),0.0)</f>
        <v>0</v>
      </c>
      <c r="O62" s="8" t="str">
        <f t="shared" si="5"/>
        <v>No</v>
      </c>
      <c r="P62" s="7">
        <f>IFERROR(__xludf.DUMMYFUNCTION("IF(C62="""", 0,
  SUM(
    ARRAYFORMULA(
      IFERROR(
        VALUE(REGEXREPLACE(TRIM(SPLIT(REGEXREPLACE(C62, ""[\[\]]"", """"), "","")), ""[^0-9.]"", """")),
        0
      )
    )
  )
)"),19945.0)</f>
        <v>19945</v>
      </c>
      <c r="Q62" s="7">
        <f t="shared" si="6"/>
        <v>906.5909091</v>
      </c>
    </row>
    <row r="63">
      <c r="A63" s="1" t="s">
        <v>197</v>
      </c>
      <c r="B63" s="2" t="s">
        <v>171</v>
      </c>
      <c r="C63" s="1" t="s">
        <v>198</v>
      </c>
      <c r="D63" s="3">
        <v>3500.0</v>
      </c>
      <c r="E63" s="3">
        <v>1400.0</v>
      </c>
      <c r="F63" s="3">
        <v>2050.0</v>
      </c>
      <c r="G63" s="3">
        <v>700.0</v>
      </c>
      <c r="H63" s="3">
        <v>1230.0</v>
      </c>
      <c r="I63" s="3">
        <v>1583.0</v>
      </c>
      <c r="J63" s="7">
        <f t="shared" si="1"/>
        <v>10463</v>
      </c>
      <c r="K63" s="8" t="str">
        <f t="shared" si="2"/>
        <v>High (&gt;6,630$ – Top ~25%)</v>
      </c>
      <c r="L63" s="8" t="str">
        <f t="shared" si="3"/>
        <v>Paid Something</v>
      </c>
      <c r="M63" s="8">
        <f t="shared" si="4"/>
        <v>17</v>
      </c>
      <c r="N63" s="8">
        <f>IFERROR(__xludf.DUMMYFUNCTION("IF(C63="""", 0, SUM(ARRAYFORMULA(IF(SPLIT(C63, "","")=""0"", 1, 0))))"),0.0)</f>
        <v>0</v>
      </c>
      <c r="O63" s="8" t="str">
        <f t="shared" si="5"/>
        <v>No</v>
      </c>
      <c r="P63" s="7">
        <f>IFERROR(__xludf.DUMMYFUNCTION("IF(C63="""", 0,
  SUM(
    ARRAYFORMULA(
      IFERROR(
        VALUE(REGEXREPLACE(TRIM(SPLIT(REGEXREPLACE(C63, ""[\[\]]"", """"), "","")), ""[^0-9.]"", """")),
        0
      )
    )
  )
)"),22621.0)</f>
        <v>22621</v>
      </c>
      <c r="Q63" s="7">
        <f t="shared" si="6"/>
        <v>1330.647059</v>
      </c>
    </row>
    <row r="64">
      <c r="A64" s="1" t="s">
        <v>199</v>
      </c>
      <c r="B64" s="2" t="s">
        <v>200</v>
      </c>
      <c r="C64" s="1" t="s">
        <v>201</v>
      </c>
      <c r="D64" s="3">
        <v>3500.0</v>
      </c>
      <c r="E64" s="3">
        <v>2800.0</v>
      </c>
      <c r="F64" s="3">
        <v>2000.0</v>
      </c>
      <c r="G64" s="3">
        <v>2250.0</v>
      </c>
      <c r="H64" s="3">
        <v>4800.0</v>
      </c>
      <c r="I64" s="3">
        <v>4029.0</v>
      </c>
      <c r="J64" s="7">
        <f t="shared" si="1"/>
        <v>19379</v>
      </c>
      <c r="K64" s="8" t="str">
        <f t="shared" si="2"/>
        <v>High (&gt;6,630$ – Top ~25%)</v>
      </c>
      <c r="L64" s="8" t="str">
        <f t="shared" si="3"/>
        <v>Paid Something</v>
      </c>
      <c r="M64" s="8">
        <f t="shared" si="4"/>
        <v>10</v>
      </c>
      <c r="N64" s="8">
        <f>IFERROR(__xludf.DUMMYFUNCTION("IF(C64="""", 0, SUM(ARRAYFORMULA(IF(SPLIT(C64, "","")=""0"", 1, 0))))"),0.0)</f>
        <v>0</v>
      </c>
      <c r="O64" s="8" t="str">
        <f t="shared" si="5"/>
        <v>No</v>
      </c>
      <c r="P64" s="7">
        <f>IFERROR(__xludf.DUMMYFUNCTION("IF(C64="""", 0,
  SUM(
    ARRAYFORMULA(
      IFERROR(
        VALUE(REGEXREPLACE(TRIM(SPLIT(REGEXREPLACE(C64, ""[\[\]]"", """"), "","")), ""[^0-9.]"", """")),
        0
      )
    )
  )
)"),37585.0)</f>
        <v>37585</v>
      </c>
      <c r="Q64" s="7">
        <f t="shared" si="6"/>
        <v>3758.5</v>
      </c>
    </row>
    <row r="65">
      <c r="A65" s="1" t="s">
        <v>202</v>
      </c>
      <c r="B65" s="2" t="s">
        <v>203</v>
      </c>
      <c r="C65" s="1" t="s">
        <v>204</v>
      </c>
      <c r="D65" s="3">
        <v>3465.0</v>
      </c>
      <c r="E65" s="3">
        <v>1320.0</v>
      </c>
      <c r="F65" s="3">
        <v>3245.0</v>
      </c>
      <c r="G65" s="3">
        <v>2035.0</v>
      </c>
      <c r="H65" s="3">
        <v>2365.0</v>
      </c>
      <c r="I65" s="3">
        <v>1815.0</v>
      </c>
      <c r="J65" s="7">
        <f t="shared" si="1"/>
        <v>14245</v>
      </c>
      <c r="K65" s="8" t="str">
        <f t="shared" si="2"/>
        <v>High (&gt;6,630$ – Top ~25%)</v>
      </c>
      <c r="L65" s="8" t="str">
        <f t="shared" si="3"/>
        <v>Paid Something</v>
      </c>
      <c r="M65" s="8">
        <f t="shared" si="4"/>
        <v>11</v>
      </c>
      <c r="N65" s="8">
        <f>IFERROR(__xludf.DUMMYFUNCTION("IF(C65="""", 0, SUM(ARRAYFORMULA(IF(SPLIT(C65, "","")=""0"", 1, 0))))"),0.0)</f>
        <v>0</v>
      </c>
      <c r="O65" s="8" t="str">
        <f t="shared" si="5"/>
        <v>No</v>
      </c>
      <c r="P65" s="7">
        <f>IFERROR(__xludf.DUMMYFUNCTION("IF(C65="""", 0,
  SUM(
    ARRAYFORMULA(
      IFERROR(
        VALUE(REGEXREPLACE(TRIM(SPLIT(REGEXREPLACE(C65, ""[\[\]]"", """"), "","")), ""[^0-9.]"", """")),
        0
      )
    )
  )
)"),19165.0)</f>
        <v>19165</v>
      </c>
      <c r="Q65" s="7">
        <f t="shared" si="6"/>
        <v>1742.272727</v>
      </c>
    </row>
    <row r="66">
      <c r="A66" s="1" t="s">
        <v>205</v>
      </c>
      <c r="B66" s="2" t="s">
        <v>206</v>
      </c>
      <c r="C66" s="1" t="s">
        <v>207</v>
      </c>
      <c r="D66" s="3">
        <v>3465.0</v>
      </c>
      <c r="E66" s="3">
        <v>1505.0</v>
      </c>
      <c r="F66" s="3">
        <v>979.0</v>
      </c>
      <c r="G66" s="3">
        <v>455.0</v>
      </c>
      <c r="H66" s="3">
        <v>1031.0</v>
      </c>
      <c r="I66" s="3">
        <v>400.0</v>
      </c>
      <c r="J66" s="7">
        <f t="shared" si="1"/>
        <v>7835</v>
      </c>
      <c r="K66" s="8" t="str">
        <f t="shared" si="2"/>
        <v>High (&gt;6,630$ – Top ~25%)</v>
      </c>
      <c r="L66" s="8" t="str">
        <f t="shared" si="3"/>
        <v>Paid Something</v>
      </c>
      <c r="M66" s="8">
        <f t="shared" si="4"/>
        <v>22</v>
      </c>
      <c r="N66" s="8">
        <f>IFERROR(__xludf.DUMMYFUNCTION("IF(C66="""", 0, SUM(ARRAYFORMULA(IF(SPLIT(C66, "","")=""0"", 1, 0))))"),0.0)</f>
        <v>0</v>
      </c>
      <c r="O66" s="8" t="str">
        <f t="shared" si="5"/>
        <v>No</v>
      </c>
      <c r="P66" s="7">
        <f>IFERROR(__xludf.DUMMYFUNCTION("IF(C66="""", 0,
  SUM(
    ARRAYFORMULA(
      IFERROR(
        VALUE(REGEXREPLACE(TRIM(SPLIT(REGEXREPLACE(C66, ""[\[\]]"", """"), "","")), ""[^0-9.]"", """")),
        0
      )
    )
  )
)"),20645.0)</f>
        <v>20645</v>
      </c>
      <c r="Q66" s="7">
        <f t="shared" si="6"/>
        <v>938.4090909</v>
      </c>
    </row>
    <row r="67">
      <c r="A67" s="1" t="s">
        <v>208</v>
      </c>
      <c r="B67" s="2" t="s">
        <v>209</v>
      </c>
      <c r="C67" s="1" t="s">
        <v>210</v>
      </c>
      <c r="D67" s="3">
        <v>3420.0</v>
      </c>
      <c r="E67" s="3">
        <v>2615.0</v>
      </c>
      <c r="F67" s="3">
        <v>2850.0</v>
      </c>
      <c r="G67" s="3">
        <v>2850.0</v>
      </c>
      <c r="H67" s="3">
        <v>2754.0</v>
      </c>
      <c r="I67" s="3">
        <v>700.0</v>
      </c>
      <c r="J67" s="7">
        <f t="shared" si="1"/>
        <v>15189</v>
      </c>
      <c r="K67" s="8" t="str">
        <f t="shared" si="2"/>
        <v>High (&gt;6,630$ – Top ~25%)</v>
      </c>
      <c r="L67" s="8" t="str">
        <f t="shared" si="3"/>
        <v>Paid Something</v>
      </c>
      <c r="M67" s="8">
        <f t="shared" si="4"/>
        <v>14</v>
      </c>
      <c r="N67" s="8">
        <f>IFERROR(__xludf.DUMMYFUNCTION("IF(C67="""", 0, SUM(ARRAYFORMULA(IF(SPLIT(C67, "","")=""0"", 1, 0))))"),0.0)</f>
        <v>0</v>
      </c>
      <c r="O67" s="8" t="str">
        <f t="shared" si="5"/>
        <v>No</v>
      </c>
      <c r="P67" s="7">
        <f>IFERROR(__xludf.DUMMYFUNCTION("IF(C67="""", 0,
  SUM(
    ARRAYFORMULA(
      IFERROR(
        VALUE(REGEXREPLACE(TRIM(SPLIT(REGEXREPLACE(C67, ""[\[\]]"", """"), "","")), ""[^0-9.]"", """")),
        0
      )
    )
  )
)"),41775.0)</f>
        <v>41775</v>
      </c>
      <c r="Q67" s="7">
        <f t="shared" si="6"/>
        <v>2983.928571</v>
      </c>
    </row>
    <row r="68">
      <c r="A68" s="1" t="s">
        <v>211</v>
      </c>
      <c r="B68" s="2" t="s">
        <v>212</v>
      </c>
      <c r="C68" s="1" t="s">
        <v>213</v>
      </c>
      <c r="D68" s="3">
        <v>3410.0</v>
      </c>
      <c r="E68" s="3">
        <v>3410.0</v>
      </c>
      <c r="F68" s="3">
        <v>2094.0</v>
      </c>
      <c r="G68" s="3">
        <v>1706.0</v>
      </c>
      <c r="H68" s="3">
        <v>1705.0</v>
      </c>
      <c r="I68" s="3">
        <v>1425.0</v>
      </c>
      <c r="J68" s="7">
        <f t="shared" si="1"/>
        <v>13750</v>
      </c>
      <c r="K68" s="8" t="str">
        <f t="shared" si="2"/>
        <v>High (&gt;6,630$ – Top ~25%)</v>
      </c>
      <c r="L68" s="8" t="str">
        <f t="shared" si="3"/>
        <v>Paid Something</v>
      </c>
      <c r="M68" s="8">
        <f t="shared" si="4"/>
        <v>9</v>
      </c>
      <c r="N68" s="8">
        <f>IFERROR(__xludf.DUMMYFUNCTION("IF(C68="""", 0, SUM(ARRAYFORMULA(IF(SPLIT(C68, "","")=""0"", 1, 0))))"),0.0)</f>
        <v>0</v>
      </c>
      <c r="O68" s="8" t="str">
        <f t="shared" si="5"/>
        <v>No</v>
      </c>
      <c r="P68" s="7">
        <f>IFERROR(__xludf.DUMMYFUNCTION("IF(C68="""", 0,
  SUM(
    ARRAYFORMULA(
      IFERROR(
        VALUE(REGEXREPLACE(TRIM(SPLIT(REGEXREPLACE(C68, ""[\[\]]"", """"), "","")), ""[^0-9.]"", """")),
        0
      )
    )
  )
)"),19330.0)</f>
        <v>19330</v>
      </c>
      <c r="Q68" s="7">
        <f t="shared" si="6"/>
        <v>2147.777778</v>
      </c>
    </row>
    <row r="69">
      <c r="A69" s="1" t="s">
        <v>214</v>
      </c>
      <c r="B69" s="2" t="s">
        <v>215</v>
      </c>
      <c r="C69" s="1" t="s">
        <v>216</v>
      </c>
      <c r="D69" s="3">
        <v>3400.0</v>
      </c>
      <c r="E69" s="3">
        <v>800.0</v>
      </c>
      <c r="F69" s="3">
        <v>1200.0</v>
      </c>
      <c r="G69" s="3">
        <v>1100.0</v>
      </c>
      <c r="H69" s="3">
        <v>1900.0</v>
      </c>
      <c r="I69" s="3">
        <v>2084.0</v>
      </c>
      <c r="J69" s="7">
        <f t="shared" si="1"/>
        <v>10484</v>
      </c>
      <c r="K69" s="8" t="str">
        <f t="shared" si="2"/>
        <v>High (&gt;6,630$ – Top ~25%)</v>
      </c>
      <c r="L69" s="8" t="str">
        <f t="shared" si="3"/>
        <v>Paid Something</v>
      </c>
      <c r="M69" s="8">
        <f t="shared" si="4"/>
        <v>13</v>
      </c>
      <c r="N69" s="8">
        <f>IFERROR(__xludf.DUMMYFUNCTION("IF(C69="""", 0, SUM(ARRAYFORMULA(IF(SPLIT(C69, "","")=""0"", 1, 0))))"),0.0)</f>
        <v>0</v>
      </c>
      <c r="O69" s="8" t="str">
        <f t="shared" si="5"/>
        <v>No</v>
      </c>
      <c r="P69" s="7">
        <f>IFERROR(__xludf.DUMMYFUNCTION("IF(C69="""", 0,
  SUM(
    ARRAYFORMULA(
      IFERROR(
        VALUE(REGEXREPLACE(TRIM(SPLIT(REGEXREPLACE(C69, ""[\[\]]"", """"), "","")), ""[^0-9.]"", """")),
        0
      )
    )
  )
)"),22600.0)</f>
        <v>22600</v>
      </c>
      <c r="Q69" s="7">
        <f t="shared" si="6"/>
        <v>1738.461538</v>
      </c>
    </row>
    <row r="70">
      <c r="A70" s="1" t="s">
        <v>217</v>
      </c>
      <c r="B70" s="2" t="s">
        <v>218</v>
      </c>
      <c r="C70" s="1" t="s">
        <v>219</v>
      </c>
      <c r="D70" s="3">
        <v>3400.0</v>
      </c>
      <c r="E70" s="3">
        <v>1800.0</v>
      </c>
      <c r="F70" s="3">
        <v>2300.0</v>
      </c>
      <c r="G70" s="3">
        <v>3150.0</v>
      </c>
      <c r="H70" s="3">
        <v>2600.0</v>
      </c>
      <c r="I70" s="3">
        <v>1510.0</v>
      </c>
      <c r="J70" s="7">
        <f t="shared" si="1"/>
        <v>14760</v>
      </c>
      <c r="K70" s="8" t="str">
        <f t="shared" si="2"/>
        <v>High (&gt;6,630$ – Top ~25%)</v>
      </c>
      <c r="L70" s="8" t="str">
        <f t="shared" si="3"/>
        <v>Paid Something</v>
      </c>
      <c r="M70" s="8">
        <f t="shared" si="4"/>
        <v>17</v>
      </c>
      <c r="N70" s="8">
        <f>IFERROR(__xludf.DUMMYFUNCTION("IF(C70="""", 0, SUM(ARRAYFORMULA(IF(SPLIT(C70, "","")=""0"", 1, 0))))"),0.0)</f>
        <v>0</v>
      </c>
      <c r="O70" s="8" t="str">
        <f t="shared" si="5"/>
        <v>No</v>
      </c>
      <c r="P70" s="7">
        <f>IFERROR(__xludf.DUMMYFUNCTION("IF(C70="""", 0,
  SUM(
    ARRAYFORMULA(
      IFERROR(
        VALUE(REGEXREPLACE(TRIM(SPLIT(REGEXREPLACE(C70, ""[\[\]]"", """"), "","")), ""[^0-9.]"", """")),
        0
      )
    )
  )
)"),42204.0)</f>
        <v>42204</v>
      </c>
      <c r="Q70" s="7">
        <f t="shared" si="6"/>
        <v>2482.588235</v>
      </c>
    </row>
    <row r="71">
      <c r="A71" s="1" t="s">
        <v>220</v>
      </c>
      <c r="B71" s="2" t="s">
        <v>221</v>
      </c>
      <c r="C71" s="1" t="s">
        <v>222</v>
      </c>
      <c r="D71" s="3">
        <v>3365.0</v>
      </c>
      <c r="E71" s="3">
        <v>250.0</v>
      </c>
      <c r="F71" s="3">
        <v>350.0</v>
      </c>
      <c r="G71" s="3">
        <v>950.0</v>
      </c>
      <c r="H71" s="3">
        <v>2500.0</v>
      </c>
      <c r="I71" s="3">
        <v>1000.0</v>
      </c>
      <c r="J71" s="7">
        <f t="shared" si="1"/>
        <v>8415</v>
      </c>
      <c r="K71" s="8" t="str">
        <f t="shared" si="2"/>
        <v>High (&gt;6,630$ – Top ~25%)</v>
      </c>
      <c r="L71" s="8" t="str">
        <f t="shared" si="3"/>
        <v>Paid Something</v>
      </c>
      <c r="M71" s="8">
        <f t="shared" si="4"/>
        <v>17</v>
      </c>
      <c r="N71" s="8">
        <f>IFERROR(__xludf.DUMMYFUNCTION("IF(C71="""", 0, SUM(ARRAYFORMULA(IF(SPLIT(C71, "","")=""0"", 1, 0))))"),0.0)</f>
        <v>0</v>
      </c>
      <c r="O71" s="8" t="str">
        <f t="shared" si="5"/>
        <v>No</v>
      </c>
      <c r="P71" s="7">
        <f>IFERROR(__xludf.DUMMYFUNCTION("IF(C71="""", 0,
  SUM(
    ARRAYFORMULA(
      IFERROR(
        VALUE(REGEXREPLACE(TRIM(SPLIT(REGEXREPLACE(C71, ""[\[\]]"", """"), "","")), ""[^0-9.]"", """")),
        0
      )
    )
  )
)"),24830.0)</f>
        <v>24830</v>
      </c>
      <c r="Q71" s="7">
        <f t="shared" si="6"/>
        <v>1460.588235</v>
      </c>
    </row>
    <row r="72">
      <c r="A72" s="1" t="s">
        <v>223</v>
      </c>
      <c r="B72" s="2" t="s">
        <v>224</v>
      </c>
      <c r="C72" s="1" t="s">
        <v>225</v>
      </c>
      <c r="D72" s="3">
        <v>3365.0</v>
      </c>
      <c r="E72" s="3">
        <v>1500.0</v>
      </c>
      <c r="F72" s="3">
        <v>1600.0</v>
      </c>
      <c r="G72" s="3">
        <v>1900.0</v>
      </c>
      <c r="H72" s="3">
        <v>1885.0</v>
      </c>
      <c r="I72" s="3">
        <v>600.0</v>
      </c>
      <c r="J72" s="7">
        <f t="shared" si="1"/>
        <v>10850</v>
      </c>
      <c r="K72" s="8" t="str">
        <f t="shared" si="2"/>
        <v>High (&gt;6,630$ – Top ~25%)</v>
      </c>
      <c r="L72" s="8" t="str">
        <f t="shared" si="3"/>
        <v>Paid Something</v>
      </c>
      <c r="M72" s="8">
        <f t="shared" si="4"/>
        <v>12</v>
      </c>
      <c r="N72" s="8">
        <f>IFERROR(__xludf.DUMMYFUNCTION("IF(C72="""", 0, SUM(ARRAYFORMULA(IF(SPLIT(C72, "","")=""0"", 1, 0))))"),0.0)</f>
        <v>0</v>
      </c>
      <c r="O72" s="8" t="str">
        <f t="shared" si="5"/>
        <v>No</v>
      </c>
      <c r="P72" s="7">
        <f>IFERROR(__xludf.DUMMYFUNCTION("IF(C72="""", 0,
  SUM(
    ARRAYFORMULA(
      IFERROR(
        VALUE(REGEXREPLACE(TRIM(SPLIT(REGEXREPLACE(C72, ""[\[\]]"", """"), "","")), ""[^0-9.]"", """")),
        0
      )
    )
  )
)"),22230.0)</f>
        <v>22230</v>
      </c>
      <c r="Q72" s="7">
        <f t="shared" si="6"/>
        <v>1852.5</v>
      </c>
    </row>
    <row r="73">
      <c r="A73" s="1" t="s">
        <v>226</v>
      </c>
      <c r="B73" s="2" t="s">
        <v>57</v>
      </c>
      <c r="C73" s="1" t="s">
        <v>227</v>
      </c>
      <c r="D73" s="3">
        <v>3345.0</v>
      </c>
      <c r="E73" s="3">
        <v>2100.0</v>
      </c>
      <c r="F73" s="3">
        <v>3800.0</v>
      </c>
      <c r="G73" s="3">
        <v>1805.0</v>
      </c>
      <c r="H73" s="3">
        <v>2850.0</v>
      </c>
      <c r="I73" s="3">
        <v>4250.0</v>
      </c>
      <c r="J73" s="7">
        <f t="shared" si="1"/>
        <v>18150</v>
      </c>
      <c r="K73" s="8" t="str">
        <f t="shared" si="2"/>
        <v>High (&gt;6,630$ – Top ~25%)</v>
      </c>
      <c r="L73" s="8" t="str">
        <f t="shared" si="3"/>
        <v>Paid Something</v>
      </c>
      <c r="M73" s="8">
        <f t="shared" si="4"/>
        <v>13</v>
      </c>
      <c r="N73" s="8">
        <f>IFERROR(__xludf.DUMMYFUNCTION("IF(C73="""", 0, SUM(ARRAYFORMULA(IF(SPLIT(C73, "","")=""0"", 1, 0))))"),0.0)</f>
        <v>0</v>
      </c>
      <c r="O73" s="8" t="str">
        <f t="shared" si="5"/>
        <v>No</v>
      </c>
      <c r="P73" s="7">
        <f>IFERROR(__xludf.DUMMYFUNCTION("IF(C73="""", 0,
  SUM(
    ARRAYFORMULA(
      IFERROR(
        VALUE(REGEXREPLACE(TRIM(SPLIT(REGEXREPLACE(C73, ""[\[\]]"", """"), "","")), ""[^0-9.]"", """")),
        0
      )
    )
  )
)"),38880.0)</f>
        <v>38880</v>
      </c>
      <c r="Q73" s="7">
        <f t="shared" si="6"/>
        <v>2990.769231</v>
      </c>
    </row>
    <row r="74">
      <c r="A74" s="1" t="s">
        <v>228</v>
      </c>
      <c r="B74" s="2" t="s">
        <v>229</v>
      </c>
      <c r="C74" s="1" t="s">
        <v>230</v>
      </c>
      <c r="D74" s="3">
        <v>3340.0</v>
      </c>
      <c r="E74" s="3">
        <v>280.0</v>
      </c>
      <c r="F74" s="3">
        <v>2000.0</v>
      </c>
      <c r="G74" s="3">
        <v>1000.0</v>
      </c>
      <c r="H74" s="3">
        <v>560.0</v>
      </c>
      <c r="I74" s="3">
        <v>300.0</v>
      </c>
      <c r="J74" s="7">
        <f t="shared" si="1"/>
        <v>7480</v>
      </c>
      <c r="K74" s="8" t="str">
        <f t="shared" si="2"/>
        <v>High (&gt;6,630$ – Top ~25%)</v>
      </c>
      <c r="L74" s="8" t="str">
        <f t="shared" si="3"/>
        <v>Paid Something</v>
      </c>
      <c r="M74" s="8">
        <f t="shared" si="4"/>
        <v>6</v>
      </c>
      <c r="N74" s="8">
        <f>IFERROR(__xludf.DUMMYFUNCTION("IF(C74="""", 0, SUM(ARRAYFORMULA(IF(SPLIT(C74, "","")=""0"", 1, 0))))"),0.0)</f>
        <v>0</v>
      </c>
      <c r="O74" s="8" t="str">
        <f t="shared" si="5"/>
        <v>No</v>
      </c>
      <c r="P74" s="7">
        <f>IFERROR(__xludf.DUMMYFUNCTION("IF(C74="""", 0,
  SUM(
    ARRAYFORMULA(
      IFERROR(
        VALUE(REGEXREPLACE(TRIM(SPLIT(REGEXREPLACE(C74, ""[\[\]]"", """"), "","")), ""[^0-9.]"", """")),
        0
      )
    )
  )
)"),9080.0)</f>
        <v>9080</v>
      </c>
      <c r="Q74" s="7">
        <f t="shared" si="6"/>
        <v>1513.333333</v>
      </c>
    </row>
    <row r="75">
      <c r="A75" s="1" t="s">
        <v>231</v>
      </c>
      <c r="B75" s="2" t="s">
        <v>232</v>
      </c>
      <c r="C75" s="1" t="s">
        <v>233</v>
      </c>
      <c r="D75" s="3">
        <v>3320.0</v>
      </c>
      <c r="E75" s="3">
        <v>2060.0</v>
      </c>
      <c r="F75" s="3">
        <v>2430.0</v>
      </c>
      <c r="G75" s="3">
        <v>2500.0</v>
      </c>
      <c r="H75" s="3">
        <v>3030.0</v>
      </c>
      <c r="I75" s="3">
        <v>1900.0</v>
      </c>
      <c r="J75" s="7">
        <f t="shared" si="1"/>
        <v>15240</v>
      </c>
      <c r="K75" s="8" t="str">
        <f t="shared" si="2"/>
        <v>High (&gt;6,630$ – Top ~25%)</v>
      </c>
      <c r="L75" s="8" t="str">
        <f t="shared" si="3"/>
        <v>Paid Something</v>
      </c>
      <c r="M75" s="8">
        <f t="shared" si="4"/>
        <v>12</v>
      </c>
      <c r="N75" s="8">
        <f>IFERROR(__xludf.DUMMYFUNCTION("IF(C75="""", 0, SUM(ARRAYFORMULA(IF(SPLIT(C75, "","")=""0"", 1, 0))))"),0.0)</f>
        <v>0</v>
      </c>
      <c r="O75" s="8" t="str">
        <f t="shared" si="5"/>
        <v>No</v>
      </c>
      <c r="P75" s="7">
        <f>IFERROR(__xludf.DUMMYFUNCTION("IF(C75="""", 0,
  SUM(
    ARRAYFORMULA(
      IFERROR(
        VALUE(REGEXREPLACE(TRIM(SPLIT(REGEXREPLACE(C75, ""[\[\]]"", """"), "","")), ""[^0-9.]"", """")),
        0
      )
    )
  )
)"),37990.0)</f>
        <v>37990</v>
      </c>
      <c r="Q75" s="7">
        <f t="shared" si="6"/>
        <v>3165.833333</v>
      </c>
    </row>
    <row r="76">
      <c r="A76" s="1" t="s">
        <v>234</v>
      </c>
      <c r="B76" s="2" t="s">
        <v>235</v>
      </c>
      <c r="C76" s="1" t="s">
        <v>236</v>
      </c>
      <c r="D76" s="3">
        <v>3300.0</v>
      </c>
      <c r="E76" s="3">
        <v>1650.0</v>
      </c>
      <c r="F76" s="3">
        <v>1980.0</v>
      </c>
      <c r="G76" s="3">
        <v>550.0</v>
      </c>
      <c r="H76" s="3">
        <v>1650.0</v>
      </c>
      <c r="I76" s="3">
        <v>1739.0</v>
      </c>
      <c r="J76" s="7">
        <f t="shared" si="1"/>
        <v>10869</v>
      </c>
      <c r="K76" s="8" t="str">
        <f t="shared" si="2"/>
        <v>High (&gt;6,630$ – Top ~25%)</v>
      </c>
      <c r="L76" s="8" t="str">
        <f t="shared" si="3"/>
        <v>Paid Something</v>
      </c>
      <c r="M76" s="8">
        <f t="shared" si="4"/>
        <v>9</v>
      </c>
      <c r="N76" s="8">
        <f>IFERROR(__xludf.DUMMYFUNCTION("IF(C76="""", 0, SUM(ARRAYFORMULA(IF(SPLIT(C76, "","")=""0"", 1, 0))))"),0.0)</f>
        <v>0</v>
      </c>
      <c r="O76" s="8" t="str">
        <f t="shared" si="5"/>
        <v>No</v>
      </c>
      <c r="P76" s="7">
        <f>IFERROR(__xludf.DUMMYFUNCTION("IF(C76="""", 0,
  SUM(
    ARRAYFORMULA(
      IFERROR(
        VALUE(REGEXREPLACE(TRIM(SPLIT(REGEXREPLACE(C76, ""[\[\]]"", """"), "","")), ""[^0-9.]"", """")),
        0
      )
    )
  )
)"),22215.0)</f>
        <v>22215</v>
      </c>
      <c r="Q76" s="7">
        <f t="shared" si="6"/>
        <v>2468.333333</v>
      </c>
    </row>
    <row r="77">
      <c r="A77" s="1" t="s">
        <v>237</v>
      </c>
      <c r="B77" s="2" t="s">
        <v>238</v>
      </c>
      <c r="C77" s="1" t="s">
        <v>239</v>
      </c>
      <c r="D77" s="3">
        <v>3300.0</v>
      </c>
      <c r="E77" s="3">
        <v>1650.0</v>
      </c>
      <c r="F77" s="3">
        <v>1650.0</v>
      </c>
      <c r="G77" s="3">
        <v>1650.0</v>
      </c>
      <c r="H77" s="3">
        <v>4125.0</v>
      </c>
      <c r="I77" s="3">
        <v>1980.0</v>
      </c>
      <c r="J77" s="7">
        <f t="shared" si="1"/>
        <v>14355</v>
      </c>
      <c r="K77" s="8" t="str">
        <f t="shared" si="2"/>
        <v>High (&gt;6,630$ – Top ~25%)</v>
      </c>
      <c r="L77" s="8" t="str">
        <f t="shared" si="3"/>
        <v>Paid Something</v>
      </c>
      <c r="M77" s="8">
        <f t="shared" si="4"/>
        <v>8</v>
      </c>
      <c r="N77" s="8">
        <f>IFERROR(__xludf.DUMMYFUNCTION("IF(C77="""", 0, SUM(ARRAYFORMULA(IF(SPLIT(C77, "","")=""0"", 1, 0))))"),0.0)</f>
        <v>0</v>
      </c>
      <c r="O77" s="8" t="str">
        <f t="shared" si="5"/>
        <v>No</v>
      </c>
      <c r="P77" s="7">
        <f>IFERROR(__xludf.DUMMYFUNCTION("IF(C77="""", 0,
  SUM(
    ARRAYFORMULA(
      IFERROR(
        VALUE(REGEXREPLACE(TRIM(SPLIT(REGEXREPLACE(C77, ""[\[\]]"", """"), "","")), ""[^0-9.]"", """")),
        0
      )
    )
  )
)"),19000.0)</f>
        <v>19000</v>
      </c>
      <c r="Q77" s="7">
        <f t="shared" si="6"/>
        <v>2375</v>
      </c>
    </row>
    <row r="78">
      <c r="A78" s="1" t="s">
        <v>240</v>
      </c>
      <c r="B78" s="2" t="s">
        <v>241</v>
      </c>
      <c r="C78" s="1" t="s">
        <v>242</v>
      </c>
      <c r="D78" s="3">
        <v>3300.0</v>
      </c>
      <c r="E78" s="3">
        <v>2450.0</v>
      </c>
      <c r="F78" s="3">
        <v>2350.0</v>
      </c>
      <c r="G78" s="3">
        <v>3800.0</v>
      </c>
      <c r="H78" s="3">
        <v>1900.0</v>
      </c>
      <c r="I78" s="3">
        <v>1150.0</v>
      </c>
      <c r="J78" s="7">
        <f t="shared" si="1"/>
        <v>14950</v>
      </c>
      <c r="K78" s="8" t="str">
        <f t="shared" si="2"/>
        <v>High (&gt;6,630$ – Top ~25%)</v>
      </c>
      <c r="L78" s="8" t="str">
        <f t="shared" si="3"/>
        <v>Paid Something</v>
      </c>
      <c r="M78" s="8">
        <f t="shared" si="4"/>
        <v>14</v>
      </c>
      <c r="N78" s="8">
        <f>IFERROR(__xludf.DUMMYFUNCTION("IF(C78="""", 0, SUM(ARRAYFORMULA(IF(SPLIT(C78, "","")=""0"", 1, 0))))"),0.0)</f>
        <v>0</v>
      </c>
      <c r="O78" s="8" t="str">
        <f t="shared" si="5"/>
        <v>No</v>
      </c>
      <c r="P78" s="7">
        <f>IFERROR(__xludf.DUMMYFUNCTION("IF(C78="""", 0,
  SUM(
    ARRAYFORMULA(
      IFERROR(
        VALUE(REGEXREPLACE(TRIM(SPLIT(REGEXREPLACE(C78, ""[\[\]]"", """"), "","")), ""[^0-9.]"", """")),
        0
      )
    )
  )
)"),42014.0)</f>
        <v>42014</v>
      </c>
      <c r="Q78" s="7">
        <f t="shared" si="6"/>
        <v>3001</v>
      </c>
    </row>
    <row r="79">
      <c r="A79" s="1" t="s">
        <v>243</v>
      </c>
      <c r="B79" s="2" t="s">
        <v>244</v>
      </c>
      <c r="C79" s="1" t="s">
        <v>245</v>
      </c>
      <c r="D79" s="3">
        <v>3300.0</v>
      </c>
      <c r="E79" s="3">
        <v>1650.0</v>
      </c>
      <c r="F79" s="3">
        <v>2000.0</v>
      </c>
      <c r="G79" s="3">
        <v>2500.0</v>
      </c>
      <c r="H79" s="3">
        <v>650.0</v>
      </c>
      <c r="I79" s="3">
        <v>8110.0</v>
      </c>
      <c r="J79" s="7">
        <f t="shared" si="1"/>
        <v>18210</v>
      </c>
      <c r="K79" s="8" t="str">
        <f t="shared" si="2"/>
        <v>High (&gt;6,630$ – Top ~25%)</v>
      </c>
      <c r="L79" s="8" t="str">
        <f t="shared" si="3"/>
        <v>Paid Something</v>
      </c>
      <c r="M79" s="8">
        <f t="shared" si="4"/>
        <v>8</v>
      </c>
      <c r="N79" s="8">
        <f>IFERROR(__xludf.DUMMYFUNCTION("IF(C79="""", 0, SUM(ARRAYFORMULA(IF(SPLIT(C79, "","")=""0"", 1, 0))))"),0.0)</f>
        <v>0</v>
      </c>
      <c r="O79" s="8" t="str">
        <f t="shared" si="5"/>
        <v>No</v>
      </c>
      <c r="P79" s="7">
        <f>IFERROR(__xludf.DUMMYFUNCTION("IF(C79="""", 0,
  SUM(
    ARRAYFORMULA(
      IFERROR(
        VALUE(REGEXREPLACE(TRIM(SPLIT(REGEXREPLACE(C79, ""[\[\]]"", """"), "","")), ""[^0-9.]"", """")),
        0
      )
    )
  )
)"),14874.0)</f>
        <v>14874</v>
      </c>
      <c r="Q79" s="7">
        <f t="shared" si="6"/>
        <v>1859.25</v>
      </c>
    </row>
    <row r="80">
      <c r="A80" s="1" t="s">
        <v>246</v>
      </c>
      <c r="B80" s="2" t="s">
        <v>247</v>
      </c>
      <c r="C80" s="1" t="s">
        <v>248</v>
      </c>
      <c r="D80" s="3">
        <v>3300.0</v>
      </c>
      <c r="E80" s="3">
        <v>1760.0</v>
      </c>
      <c r="F80" s="3">
        <v>1650.0</v>
      </c>
      <c r="G80" s="3">
        <v>4380.0</v>
      </c>
      <c r="H80" s="3">
        <v>5310.0</v>
      </c>
      <c r="I80" s="3">
        <v>4856.0</v>
      </c>
      <c r="J80" s="7">
        <f t="shared" si="1"/>
        <v>21256</v>
      </c>
      <c r="K80" s="8" t="str">
        <f t="shared" si="2"/>
        <v>High (&gt;6,630$ – Top ~25%)</v>
      </c>
      <c r="L80" s="8" t="str">
        <f t="shared" si="3"/>
        <v>Paid Something</v>
      </c>
      <c r="M80" s="8">
        <f t="shared" si="4"/>
        <v>6</v>
      </c>
      <c r="N80" s="8">
        <f>IFERROR(__xludf.DUMMYFUNCTION("IF(C80="""", 0, SUM(ARRAYFORMULA(IF(SPLIT(C80, "","")=""0"", 1, 0))))"),0.0)</f>
        <v>0</v>
      </c>
      <c r="O80" s="8" t="str">
        <f t="shared" si="5"/>
        <v>No</v>
      </c>
      <c r="P80" s="7">
        <f>IFERROR(__xludf.DUMMYFUNCTION("IF(C80="""", 0,
  SUM(
    ARRAYFORMULA(
      IFERROR(
        VALUE(REGEXREPLACE(TRIM(SPLIT(REGEXREPLACE(C80, ""[\[\]]"", """"), "","")), ""[^0-9.]"", """")),
        0
      )
    )
  )
)"),11824.0)</f>
        <v>11824</v>
      </c>
      <c r="Q80" s="7">
        <f t="shared" si="6"/>
        <v>1970.666667</v>
      </c>
    </row>
    <row r="81">
      <c r="A81" s="1" t="s">
        <v>249</v>
      </c>
      <c r="B81" s="2" t="s">
        <v>111</v>
      </c>
      <c r="C81" s="1" t="s">
        <v>250</v>
      </c>
      <c r="D81" s="3">
        <v>3245.0</v>
      </c>
      <c r="E81" s="3">
        <v>440.0</v>
      </c>
      <c r="F81" s="3">
        <v>821.0</v>
      </c>
      <c r="G81" s="3">
        <v>592.0</v>
      </c>
      <c r="H81" s="3">
        <v>654.0</v>
      </c>
      <c r="I81" s="3">
        <v>1358.0</v>
      </c>
      <c r="J81" s="7">
        <f t="shared" si="1"/>
        <v>7110</v>
      </c>
      <c r="K81" s="8" t="str">
        <f t="shared" si="2"/>
        <v>High (&gt;6,630$ – Top ~25%)</v>
      </c>
      <c r="L81" s="8" t="str">
        <f t="shared" si="3"/>
        <v>Paid Something</v>
      </c>
      <c r="M81" s="8">
        <f t="shared" si="4"/>
        <v>5</v>
      </c>
      <c r="N81" s="8">
        <f>IFERROR(__xludf.DUMMYFUNCTION("IF(C81="""", 0, SUM(ARRAYFORMULA(IF(SPLIT(C81, "","")=""0"", 1, 0))))"),0.0)</f>
        <v>0</v>
      </c>
      <c r="O81" s="8" t="str">
        <f t="shared" si="5"/>
        <v>No</v>
      </c>
      <c r="P81" s="7">
        <f>IFERROR(__xludf.DUMMYFUNCTION("IF(C81="""", 0,
  SUM(
    ARRAYFORMULA(
      IFERROR(
        VALUE(REGEXREPLACE(TRIM(SPLIT(REGEXREPLACE(C81, ""[\[\]]"", """"), "","")), ""[^0-9.]"", """")),
        0
      )
    )
  )
)"),7800.0)</f>
        <v>7800</v>
      </c>
      <c r="Q81" s="7">
        <f t="shared" si="6"/>
        <v>1560</v>
      </c>
    </row>
    <row r="82">
      <c r="A82" s="1" t="s">
        <v>251</v>
      </c>
      <c r="B82" s="2" t="s">
        <v>252</v>
      </c>
      <c r="C82" s="1" t="s">
        <v>253</v>
      </c>
      <c r="D82" s="3">
        <v>3220.0</v>
      </c>
      <c r="E82" s="3">
        <v>500.0</v>
      </c>
      <c r="F82" s="3">
        <v>2075.0</v>
      </c>
      <c r="G82" s="3">
        <v>800.0</v>
      </c>
      <c r="H82" s="3">
        <v>2845.0</v>
      </c>
      <c r="I82" s="3">
        <v>1000.0</v>
      </c>
      <c r="J82" s="7">
        <f t="shared" si="1"/>
        <v>10440</v>
      </c>
      <c r="K82" s="8" t="str">
        <f t="shared" si="2"/>
        <v>High (&gt;6,630$ – Top ~25%)</v>
      </c>
      <c r="L82" s="8" t="str">
        <f t="shared" si="3"/>
        <v>Paid Something</v>
      </c>
      <c r="M82" s="8">
        <f t="shared" si="4"/>
        <v>23</v>
      </c>
      <c r="N82" s="8">
        <f>IFERROR(__xludf.DUMMYFUNCTION("IF(C82="""", 0, SUM(ARRAYFORMULA(IF(SPLIT(C82, "","")=""0"", 1, 0))))"),0.0)</f>
        <v>0</v>
      </c>
      <c r="O82" s="8" t="str">
        <f t="shared" si="5"/>
        <v>No</v>
      </c>
      <c r="P82" s="7">
        <f>IFERROR(__xludf.DUMMYFUNCTION("IF(C82="""", 0,
  SUM(
    ARRAYFORMULA(
      IFERROR(
        VALUE(REGEXREPLACE(TRIM(SPLIT(REGEXREPLACE(C82, ""[\[\]]"", """"), "","")), ""[^0-9.]"", """")),
        0
      )
    )
  )
)"),22970.0)</f>
        <v>22970</v>
      </c>
      <c r="Q82" s="7">
        <f t="shared" si="6"/>
        <v>998.6956522</v>
      </c>
    </row>
    <row r="83">
      <c r="A83" s="1" t="s">
        <v>254</v>
      </c>
      <c r="B83" s="2" t="s">
        <v>255</v>
      </c>
      <c r="C83" s="1" t="s">
        <v>256</v>
      </c>
      <c r="D83" s="3">
        <v>3200.0</v>
      </c>
      <c r="E83" s="3">
        <v>2100.0</v>
      </c>
      <c r="F83" s="3">
        <v>1500.0</v>
      </c>
      <c r="G83" s="3">
        <v>1250.0</v>
      </c>
      <c r="H83" s="3">
        <v>1200.0</v>
      </c>
      <c r="I83" s="3">
        <v>1053.0</v>
      </c>
      <c r="J83" s="7">
        <f t="shared" si="1"/>
        <v>10303</v>
      </c>
      <c r="K83" s="8" t="str">
        <f t="shared" si="2"/>
        <v>High (&gt;6,630$ – Top ~25%)</v>
      </c>
      <c r="L83" s="8" t="str">
        <f t="shared" si="3"/>
        <v>Paid Something</v>
      </c>
      <c r="M83" s="8">
        <f t="shared" si="4"/>
        <v>17</v>
      </c>
      <c r="N83" s="8">
        <f>IFERROR(__xludf.DUMMYFUNCTION("IF(C83="""", 0, SUM(ARRAYFORMULA(IF(SPLIT(C83, "","")=""0"", 1, 0))))"),0.0)</f>
        <v>0</v>
      </c>
      <c r="O83" s="8" t="str">
        <f t="shared" si="5"/>
        <v>No</v>
      </c>
      <c r="P83" s="7">
        <f>IFERROR(__xludf.DUMMYFUNCTION("IF(C83="""", 0,
  SUM(
    ARRAYFORMULA(
      IFERROR(
        VALUE(REGEXREPLACE(TRIM(SPLIT(REGEXREPLACE(C83, ""[\[\]]"", """"), "","")), ""[^0-9.]"", """")),
        0
      )
    )
  )
)"),23107.0)</f>
        <v>23107</v>
      </c>
      <c r="Q83" s="7">
        <f t="shared" si="6"/>
        <v>1359.235294</v>
      </c>
    </row>
    <row r="84">
      <c r="A84" s="1" t="s">
        <v>257</v>
      </c>
      <c r="B84" s="2" t="s">
        <v>258</v>
      </c>
      <c r="C84" s="1" t="s">
        <v>259</v>
      </c>
      <c r="D84" s="3">
        <v>3200.0</v>
      </c>
      <c r="E84" s="3">
        <v>2400.0</v>
      </c>
      <c r="F84" s="3">
        <v>1900.0</v>
      </c>
      <c r="G84" s="3">
        <v>2200.0</v>
      </c>
      <c r="H84" s="3">
        <v>2200.0</v>
      </c>
      <c r="I84" s="3">
        <v>759.0</v>
      </c>
      <c r="J84" s="7">
        <f t="shared" si="1"/>
        <v>12659</v>
      </c>
      <c r="K84" s="8" t="str">
        <f t="shared" si="2"/>
        <v>High (&gt;6,630$ – Top ~25%)</v>
      </c>
      <c r="L84" s="8" t="str">
        <f t="shared" si="3"/>
        <v>Paid Something</v>
      </c>
      <c r="M84" s="8">
        <f t="shared" si="4"/>
        <v>11</v>
      </c>
      <c r="N84" s="8">
        <f>IFERROR(__xludf.DUMMYFUNCTION("IF(C84="""", 0, SUM(ARRAYFORMULA(IF(SPLIT(C84, "","")=""0"", 1, 0))))"),0.0)</f>
        <v>0</v>
      </c>
      <c r="O84" s="8" t="str">
        <f t="shared" si="5"/>
        <v>No</v>
      </c>
      <c r="P84" s="7">
        <f>IFERROR(__xludf.DUMMYFUNCTION("IF(C84="""", 0,
  SUM(
    ARRAYFORMULA(
      IFERROR(
        VALUE(REGEXREPLACE(TRIM(SPLIT(REGEXREPLACE(C84, ""[\[\]]"", """"), "","")), ""[^0-9.]"", """")),
        0
      )
    )
  )
)"),44305.0)</f>
        <v>44305</v>
      </c>
      <c r="Q84" s="7">
        <f t="shared" si="6"/>
        <v>4027.727273</v>
      </c>
    </row>
    <row r="85">
      <c r="A85" s="1" t="s">
        <v>260</v>
      </c>
      <c r="B85" s="2" t="s">
        <v>261</v>
      </c>
      <c r="C85" s="1" t="s">
        <v>262</v>
      </c>
      <c r="D85" s="3">
        <v>3200.0</v>
      </c>
      <c r="E85" s="3">
        <v>2100.0</v>
      </c>
      <c r="F85" s="3">
        <v>1100.0</v>
      </c>
      <c r="G85" s="3">
        <v>1300.0</v>
      </c>
      <c r="H85" s="3">
        <v>2484.0</v>
      </c>
      <c r="I85" s="3">
        <v>1000.0</v>
      </c>
      <c r="J85" s="7">
        <f t="shared" si="1"/>
        <v>11184</v>
      </c>
      <c r="K85" s="8" t="str">
        <f t="shared" si="2"/>
        <v>High (&gt;6,630$ – Top ~25%)</v>
      </c>
      <c r="L85" s="8" t="str">
        <f t="shared" si="3"/>
        <v>Paid Something</v>
      </c>
      <c r="M85" s="8">
        <f t="shared" si="4"/>
        <v>8</v>
      </c>
      <c r="N85" s="8">
        <f>IFERROR(__xludf.DUMMYFUNCTION("IF(C85="""", 0, SUM(ARRAYFORMULA(IF(SPLIT(C85, "","")=""0"", 1, 0))))"),0.0)</f>
        <v>0</v>
      </c>
      <c r="O85" s="8" t="str">
        <f t="shared" si="5"/>
        <v>No</v>
      </c>
      <c r="P85" s="7">
        <f>IFERROR(__xludf.DUMMYFUNCTION("IF(C85="""", 0,
  SUM(
    ARRAYFORMULA(
      IFERROR(
        VALUE(REGEXREPLACE(TRIM(SPLIT(REGEXREPLACE(C85, ""[\[\]]"", """"), "","")), ""[^0-9.]"", """")),
        0
      )
    )
  )
)"),21900.0)</f>
        <v>21900</v>
      </c>
      <c r="Q85" s="7">
        <f t="shared" si="6"/>
        <v>2737.5</v>
      </c>
    </row>
    <row r="86">
      <c r="A86" s="1" t="s">
        <v>263</v>
      </c>
      <c r="B86" s="2" t="s">
        <v>264</v>
      </c>
      <c r="C86" s="1" t="s">
        <v>265</v>
      </c>
      <c r="D86" s="3">
        <v>3200.0</v>
      </c>
      <c r="E86" s="3">
        <v>1930.0</v>
      </c>
      <c r="F86" s="3">
        <v>1000.0</v>
      </c>
      <c r="G86" s="3">
        <v>1250.0</v>
      </c>
      <c r="H86" s="3">
        <v>1270.0</v>
      </c>
      <c r="I86" s="3">
        <v>1471.0</v>
      </c>
      <c r="J86" s="7">
        <f t="shared" si="1"/>
        <v>10121</v>
      </c>
      <c r="K86" s="8" t="str">
        <f t="shared" si="2"/>
        <v>High (&gt;6,630$ – Top ~25%)</v>
      </c>
      <c r="L86" s="8" t="str">
        <f t="shared" si="3"/>
        <v>Paid Something</v>
      </c>
      <c r="M86" s="8">
        <f t="shared" si="4"/>
        <v>12</v>
      </c>
      <c r="N86" s="8">
        <f>IFERROR(__xludf.DUMMYFUNCTION("IF(C86="""", 0, SUM(ARRAYFORMULA(IF(SPLIT(C86, "","")=""0"", 1, 0))))"),0.0)</f>
        <v>0</v>
      </c>
      <c r="O86" s="8" t="str">
        <f t="shared" si="5"/>
        <v>No</v>
      </c>
      <c r="P86" s="7">
        <f>IFERROR(__xludf.DUMMYFUNCTION("IF(C86="""", 0,
  SUM(
    ARRAYFORMULA(
      IFERROR(
        VALUE(REGEXREPLACE(TRIM(SPLIT(REGEXREPLACE(C86, ""[\[\]]"", """"), "","")), ""[^0-9.]"", """")),
        0
      )
    )
  )
)"),22960.0)</f>
        <v>22960</v>
      </c>
      <c r="Q86" s="7">
        <f t="shared" si="6"/>
        <v>1913.333333</v>
      </c>
    </row>
    <row r="87">
      <c r="A87" s="1" t="s">
        <v>266</v>
      </c>
      <c r="B87" s="2" t="s">
        <v>267</v>
      </c>
      <c r="C87" s="1" t="s">
        <v>268</v>
      </c>
      <c r="D87" s="3">
        <v>3200.0</v>
      </c>
      <c r="E87" s="3">
        <v>1650.0</v>
      </c>
      <c r="F87" s="3">
        <v>3245.0</v>
      </c>
      <c r="G87" s="3">
        <v>3300.0</v>
      </c>
      <c r="H87" s="3">
        <v>3300.0</v>
      </c>
      <c r="I87" s="3">
        <v>2290.0</v>
      </c>
      <c r="J87" s="7">
        <f t="shared" si="1"/>
        <v>16985</v>
      </c>
      <c r="K87" s="8" t="str">
        <f t="shared" si="2"/>
        <v>High (&gt;6,630$ – Top ~25%)</v>
      </c>
      <c r="L87" s="8" t="str">
        <f t="shared" si="3"/>
        <v>Paid Something</v>
      </c>
      <c r="M87" s="8">
        <f t="shared" si="4"/>
        <v>5</v>
      </c>
      <c r="N87" s="8">
        <f>IFERROR(__xludf.DUMMYFUNCTION("IF(C87="""", 0, SUM(ARRAYFORMULA(IF(SPLIT(C87, "","")=""0"", 1, 0))))"),0.0)</f>
        <v>0</v>
      </c>
      <c r="O87" s="8" t="str">
        <f t="shared" si="5"/>
        <v>No</v>
      </c>
      <c r="P87" s="7">
        <f>IFERROR(__xludf.DUMMYFUNCTION("IF(C87="""", 0,
  SUM(
    ARRAYFORMULA(
      IFERROR(
        VALUE(REGEXREPLACE(TRIM(SPLIT(REGEXREPLACE(C87, ""[\[\]]"", """"), "","")), ""[^0-9.]"", """")),
        0
      )
    )
  )
)"),16099.0)</f>
        <v>16099</v>
      </c>
      <c r="Q87" s="7">
        <f t="shared" si="6"/>
        <v>3219.8</v>
      </c>
    </row>
    <row r="88">
      <c r="A88" s="1" t="s">
        <v>269</v>
      </c>
      <c r="B88" s="2" t="s">
        <v>270</v>
      </c>
      <c r="C88" s="1" t="s">
        <v>271</v>
      </c>
      <c r="D88" s="3">
        <v>3200.0</v>
      </c>
      <c r="E88" s="3">
        <v>3000.0</v>
      </c>
      <c r="F88" s="3">
        <v>2450.0</v>
      </c>
      <c r="G88" s="3">
        <v>3025.0</v>
      </c>
      <c r="H88" s="3">
        <v>2880.0</v>
      </c>
      <c r="I88" s="3">
        <v>3310.0</v>
      </c>
      <c r="J88" s="7">
        <f t="shared" si="1"/>
        <v>17865</v>
      </c>
      <c r="K88" s="8" t="str">
        <f t="shared" si="2"/>
        <v>High (&gt;6,630$ – Top ~25%)</v>
      </c>
      <c r="L88" s="8" t="str">
        <f t="shared" si="3"/>
        <v>Paid Something</v>
      </c>
      <c r="M88" s="8">
        <f t="shared" si="4"/>
        <v>11</v>
      </c>
      <c r="N88" s="8">
        <f>IFERROR(__xludf.DUMMYFUNCTION("IF(C88="""", 0, SUM(ARRAYFORMULA(IF(SPLIT(C88, "","")=""0"", 1, 0))))"),0.0)</f>
        <v>0</v>
      </c>
      <c r="O88" s="8" t="str">
        <f t="shared" si="5"/>
        <v>No</v>
      </c>
      <c r="P88" s="7">
        <f>IFERROR(__xludf.DUMMYFUNCTION("IF(C88="""", 0,
  SUM(
    ARRAYFORMULA(
      IFERROR(
        VALUE(REGEXREPLACE(TRIM(SPLIT(REGEXREPLACE(C88, ""[\[\]]"", """"), "","")), ""[^0-9.]"", """")),
        0
      )
    )
  )
)"),43100.0)</f>
        <v>43100</v>
      </c>
      <c r="Q88" s="7">
        <f t="shared" si="6"/>
        <v>3918.181818</v>
      </c>
    </row>
    <row r="89">
      <c r="A89" s="1" t="s">
        <v>272</v>
      </c>
      <c r="B89" s="2" t="s">
        <v>273</v>
      </c>
      <c r="C89" s="1" t="s">
        <v>274</v>
      </c>
      <c r="D89" s="3">
        <v>3180.0</v>
      </c>
      <c r="E89" s="3">
        <v>300.0</v>
      </c>
      <c r="F89" s="3">
        <v>300.0</v>
      </c>
      <c r="G89" s="3">
        <v>300.0</v>
      </c>
      <c r="H89" s="3">
        <v>100.0</v>
      </c>
      <c r="I89" s="3">
        <v>150.0</v>
      </c>
      <c r="J89" s="7">
        <f t="shared" si="1"/>
        <v>4330</v>
      </c>
      <c r="K89" s="8" t="str">
        <f t="shared" si="2"/>
        <v>Medium-Low (2,001–4,750$)</v>
      </c>
      <c r="L89" s="8" t="str">
        <f t="shared" si="3"/>
        <v>Paid Something</v>
      </c>
      <c r="M89" s="8">
        <f t="shared" si="4"/>
        <v>5</v>
      </c>
      <c r="N89" s="8">
        <f>IFERROR(__xludf.DUMMYFUNCTION("IF(C89="""", 0, SUM(ARRAYFORMULA(IF(SPLIT(C89, "","")=""0"", 1, 0))))"),0.0)</f>
        <v>0</v>
      </c>
      <c r="O89" s="8" t="str">
        <f t="shared" si="5"/>
        <v>No</v>
      </c>
      <c r="P89" s="7">
        <f>IFERROR(__xludf.DUMMYFUNCTION("IF(C89="""", 0,
  SUM(
    ARRAYFORMULA(
      IFERROR(
        VALUE(REGEXREPLACE(TRIM(SPLIT(REGEXREPLACE(C89, ""[\[\]]"", """"), "","")), ""[^0-9.]"", """")),
        0
      )
    )
  )
)"),8220.0)</f>
        <v>8220</v>
      </c>
      <c r="Q89" s="7">
        <f t="shared" si="6"/>
        <v>1644</v>
      </c>
    </row>
    <row r="90">
      <c r="A90" s="1" t="s">
        <v>275</v>
      </c>
      <c r="B90" s="2" t="s">
        <v>276</v>
      </c>
      <c r="C90" s="1" t="s">
        <v>277</v>
      </c>
      <c r="D90" s="3">
        <v>3175.0</v>
      </c>
      <c r="E90" s="3">
        <v>90.0</v>
      </c>
      <c r="F90" s="3">
        <v>2000.0</v>
      </c>
      <c r="G90" s="3">
        <v>285.0</v>
      </c>
      <c r="H90" s="3">
        <v>285.0</v>
      </c>
      <c r="I90" s="3">
        <v>95.0</v>
      </c>
      <c r="J90" s="7">
        <f t="shared" si="1"/>
        <v>5930</v>
      </c>
      <c r="K90" s="8" t="str">
        <f t="shared" si="2"/>
        <v>Medium-High (4,751–6,630$ – Top 50–75%)</v>
      </c>
      <c r="L90" s="8" t="str">
        <f t="shared" si="3"/>
        <v>Paid Something</v>
      </c>
      <c r="M90" s="8">
        <f t="shared" si="4"/>
        <v>34</v>
      </c>
      <c r="N90" s="8">
        <f>IFERROR(__xludf.DUMMYFUNCTION("IF(C90="""", 0, SUM(ARRAYFORMULA(IF(SPLIT(C90, "","")=""0"", 1, 0))))"),0.0)</f>
        <v>0</v>
      </c>
      <c r="O90" s="8" t="str">
        <f t="shared" si="5"/>
        <v>No</v>
      </c>
      <c r="P90" s="7">
        <f>IFERROR(__xludf.DUMMYFUNCTION("IF(C90="""", 0,
  SUM(
    ARRAYFORMULA(
      IFERROR(
        VALUE(REGEXREPLACE(TRIM(SPLIT(REGEXREPLACE(C90, ""[\[\]]"", """"), "","")), ""[^0-9.]"", """")),
        0
      )
    )
  )
)"),39650.0)</f>
        <v>39650</v>
      </c>
      <c r="Q90" s="7">
        <f t="shared" si="6"/>
        <v>1166.176471</v>
      </c>
    </row>
    <row r="91">
      <c r="A91" s="1" t="s">
        <v>278</v>
      </c>
      <c r="B91" s="2" t="s">
        <v>279</v>
      </c>
      <c r="C91" s="1" t="s">
        <v>280</v>
      </c>
      <c r="D91" s="3">
        <v>3165.0</v>
      </c>
      <c r="E91" s="3">
        <v>605.0</v>
      </c>
      <c r="F91" s="3">
        <v>220.0</v>
      </c>
      <c r="G91" s="3">
        <v>385.0</v>
      </c>
      <c r="H91" s="3">
        <v>220.0</v>
      </c>
      <c r="I91" s="3">
        <v>385.0</v>
      </c>
      <c r="J91" s="7">
        <f t="shared" si="1"/>
        <v>4980</v>
      </c>
      <c r="K91" s="8" t="str">
        <f t="shared" si="2"/>
        <v>Medium-High (4,751–6,630$ – Top 50–75%)</v>
      </c>
      <c r="L91" s="8" t="str">
        <f t="shared" si="3"/>
        <v>Paid Something</v>
      </c>
      <c r="M91" s="8">
        <f t="shared" si="4"/>
        <v>28</v>
      </c>
      <c r="N91" s="8">
        <f>IFERROR(__xludf.DUMMYFUNCTION("IF(C91="""", 0, SUM(ARRAYFORMULA(IF(SPLIT(C91, "","")=""0"", 1, 0))))"),0.0)</f>
        <v>0</v>
      </c>
      <c r="O91" s="8" t="str">
        <f t="shared" si="5"/>
        <v>No</v>
      </c>
      <c r="P91" s="7">
        <f>IFERROR(__xludf.DUMMYFUNCTION("IF(C91="""", 0,
  SUM(
    ARRAYFORMULA(
      IFERROR(
        VALUE(REGEXREPLACE(TRIM(SPLIT(REGEXREPLACE(C91, ""[\[\]]"", """"), "","")), ""[^0-9.]"", """")),
        0
      )
    )
  )
)"),11379.0)</f>
        <v>11379</v>
      </c>
      <c r="Q91" s="7">
        <f t="shared" si="6"/>
        <v>406.3928571</v>
      </c>
    </row>
    <row r="92">
      <c r="A92" s="1" t="s">
        <v>281</v>
      </c>
      <c r="B92" s="2" t="s">
        <v>282</v>
      </c>
      <c r="C92" s="1" t="s">
        <v>283</v>
      </c>
      <c r="D92" s="3">
        <v>3165.0</v>
      </c>
      <c r="E92" s="3">
        <v>275.0</v>
      </c>
      <c r="F92" s="3">
        <v>685.0</v>
      </c>
      <c r="G92" s="3">
        <v>660.0</v>
      </c>
      <c r="H92" s="3">
        <v>165.0</v>
      </c>
      <c r="I92" s="3">
        <v>110.0</v>
      </c>
      <c r="J92" s="7">
        <f t="shared" si="1"/>
        <v>5060</v>
      </c>
      <c r="K92" s="8" t="str">
        <f t="shared" si="2"/>
        <v>Medium-High (4,751–6,630$ – Top 50–75%)</v>
      </c>
      <c r="L92" s="8" t="str">
        <f t="shared" si="3"/>
        <v>Paid Something</v>
      </c>
      <c r="M92" s="8">
        <f t="shared" si="4"/>
        <v>32</v>
      </c>
      <c r="N92" s="8">
        <f>IFERROR(__xludf.DUMMYFUNCTION("IF(C92="""", 0, SUM(ARRAYFORMULA(IF(SPLIT(C92, "","")=""0"", 1, 0))))"),0.0)</f>
        <v>0</v>
      </c>
      <c r="O92" s="8" t="str">
        <f t="shared" si="5"/>
        <v>No</v>
      </c>
      <c r="P92" s="7">
        <f>IFERROR(__xludf.DUMMYFUNCTION("IF(C92="""", 0,
  SUM(
    ARRAYFORMULA(
      IFERROR(
        VALUE(REGEXREPLACE(TRIM(SPLIT(REGEXREPLACE(C92, ""[\[\]]"", """"), "","")), ""[^0-9.]"", """")),
        0
      )
    )
  )
)"),15204.0)</f>
        <v>15204</v>
      </c>
      <c r="Q92" s="7">
        <f t="shared" si="6"/>
        <v>475.125</v>
      </c>
    </row>
    <row r="93">
      <c r="A93" s="1" t="s">
        <v>284</v>
      </c>
      <c r="B93" s="2" t="s">
        <v>285</v>
      </c>
      <c r="C93" s="1" t="s">
        <v>286</v>
      </c>
      <c r="D93" s="3">
        <v>3150.0</v>
      </c>
      <c r="E93" s="3">
        <v>2050.0</v>
      </c>
      <c r="F93" s="3">
        <v>400.0</v>
      </c>
      <c r="G93" s="3">
        <v>3350.0</v>
      </c>
      <c r="H93" s="3">
        <v>2185.0</v>
      </c>
      <c r="I93" s="3">
        <v>954.0</v>
      </c>
      <c r="J93" s="7">
        <f t="shared" si="1"/>
        <v>12089</v>
      </c>
      <c r="K93" s="8" t="str">
        <f t="shared" si="2"/>
        <v>High (&gt;6,630$ – Top ~25%)</v>
      </c>
      <c r="L93" s="8" t="str">
        <f t="shared" si="3"/>
        <v>Paid Something</v>
      </c>
      <c r="M93" s="8">
        <f t="shared" si="4"/>
        <v>17</v>
      </c>
      <c r="N93" s="8">
        <f>IFERROR(__xludf.DUMMYFUNCTION("IF(C93="""", 0, SUM(ARRAYFORMULA(IF(SPLIT(C93, "","")=""0"", 1, 0))))"),0.0)</f>
        <v>0</v>
      </c>
      <c r="O93" s="8" t="str">
        <f t="shared" si="5"/>
        <v>No</v>
      </c>
      <c r="P93" s="7">
        <f>IFERROR(__xludf.DUMMYFUNCTION("IF(C93="""", 0,
  SUM(
    ARRAYFORMULA(
      IFERROR(
        VALUE(REGEXREPLACE(TRIM(SPLIT(REGEXREPLACE(C93, ""[\[\]]"", """"), "","")), ""[^0-9.]"", """")),
        0
      )
    )
  )
)"),45160.0)</f>
        <v>45160</v>
      </c>
      <c r="Q93" s="7">
        <f t="shared" si="6"/>
        <v>2656.470588</v>
      </c>
    </row>
    <row r="94">
      <c r="A94" s="1" t="s">
        <v>287</v>
      </c>
      <c r="B94" s="2" t="s">
        <v>288</v>
      </c>
      <c r="C94" s="1" t="s">
        <v>289</v>
      </c>
      <c r="D94" s="3">
        <v>3135.0</v>
      </c>
      <c r="E94" s="3">
        <v>2945.0</v>
      </c>
      <c r="F94" s="3">
        <v>2945.0</v>
      </c>
      <c r="G94" s="3">
        <v>475.0</v>
      </c>
      <c r="H94" s="3">
        <v>5890.0</v>
      </c>
      <c r="I94" s="3">
        <v>17879.0</v>
      </c>
      <c r="J94" s="7">
        <f t="shared" si="1"/>
        <v>33269</v>
      </c>
      <c r="K94" s="8" t="str">
        <f t="shared" si="2"/>
        <v>High (&gt;6,630$ – Top ~25%)</v>
      </c>
      <c r="L94" s="8" t="str">
        <f t="shared" si="3"/>
        <v>Paid Something</v>
      </c>
      <c r="M94" s="8">
        <f t="shared" si="4"/>
        <v>6</v>
      </c>
      <c r="N94" s="8">
        <f>IFERROR(__xludf.DUMMYFUNCTION("IF(C94="""", 0, SUM(ARRAYFORMULA(IF(SPLIT(C94, "","")=""0"", 1, 0))))"),0.0)</f>
        <v>0</v>
      </c>
      <c r="O94" s="8" t="str">
        <f t="shared" si="5"/>
        <v>No</v>
      </c>
      <c r="P94" s="7">
        <f>IFERROR(__xludf.DUMMYFUNCTION("IF(C94="""", 0,
  SUM(
    ARRAYFORMULA(
      IFERROR(
        VALUE(REGEXREPLACE(TRIM(SPLIT(REGEXREPLACE(C94, ""[\[\]]"", """"), "","")), ""[^0-9.]"", """")),
        0
      )
    )
  )
)"),23695.0)</f>
        <v>23695</v>
      </c>
      <c r="Q94" s="7">
        <f t="shared" si="6"/>
        <v>3949.166667</v>
      </c>
    </row>
    <row r="95">
      <c r="A95" s="1" t="s">
        <v>290</v>
      </c>
      <c r="B95" s="2" t="s">
        <v>291</v>
      </c>
      <c r="C95" s="1" t="s">
        <v>292</v>
      </c>
      <c r="D95" s="3">
        <v>3135.0</v>
      </c>
      <c r="E95" s="3">
        <v>2200.0</v>
      </c>
      <c r="F95" s="3">
        <v>2200.0</v>
      </c>
      <c r="G95" s="3">
        <v>2777.0</v>
      </c>
      <c r="H95" s="3">
        <v>2475.0</v>
      </c>
      <c r="I95" s="3">
        <v>2093.0</v>
      </c>
      <c r="J95" s="7">
        <f t="shared" si="1"/>
        <v>14880</v>
      </c>
      <c r="K95" s="8" t="str">
        <f t="shared" si="2"/>
        <v>High (&gt;6,630$ – Top ~25%)</v>
      </c>
      <c r="L95" s="8" t="str">
        <f t="shared" si="3"/>
        <v>Paid Something</v>
      </c>
      <c r="M95" s="8">
        <f t="shared" si="4"/>
        <v>6</v>
      </c>
      <c r="N95" s="8">
        <f>IFERROR(__xludf.DUMMYFUNCTION("IF(C95="""", 0, SUM(ARRAYFORMULA(IF(SPLIT(C95, "","")=""0"", 1, 0))))"),0.0)</f>
        <v>0</v>
      </c>
      <c r="O95" s="8" t="str">
        <f t="shared" si="5"/>
        <v>No</v>
      </c>
      <c r="P95" s="7">
        <f>IFERROR(__xludf.DUMMYFUNCTION("IF(C95="""", 0,
  SUM(
    ARRAYFORMULA(
      IFERROR(
        VALUE(REGEXREPLACE(TRIM(SPLIT(REGEXREPLACE(C95, ""[\[\]]"", """"), "","")), ""[^0-9.]"", """")),
        0
      )
    )
  )
)"),18530.0)</f>
        <v>18530</v>
      </c>
      <c r="Q95" s="7">
        <f t="shared" si="6"/>
        <v>3088.333333</v>
      </c>
    </row>
    <row r="96">
      <c r="A96" s="1" t="s">
        <v>293</v>
      </c>
      <c r="B96" s="2" t="s">
        <v>294</v>
      </c>
      <c r="C96" s="1" t="s">
        <v>295</v>
      </c>
      <c r="D96" s="3">
        <v>3105.0</v>
      </c>
      <c r="E96" s="3">
        <v>1650.0</v>
      </c>
      <c r="F96" s="3">
        <v>715.0</v>
      </c>
      <c r="G96" s="3">
        <v>1100.0</v>
      </c>
      <c r="H96" s="3">
        <v>1211.0</v>
      </c>
      <c r="I96" s="3">
        <v>293.0</v>
      </c>
      <c r="J96" s="7">
        <f t="shared" si="1"/>
        <v>8074</v>
      </c>
      <c r="K96" s="8" t="str">
        <f t="shared" si="2"/>
        <v>High (&gt;6,630$ – Top ~25%)</v>
      </c>
      <c r="L96" s="8" t="str">
        <f t="shared" si="3"/>
        <v>Paid Something</v>
      </c>
      <c r="M96" s="8">
        <f t="shared" si="4"/>
        <v>15</v>
      </c>
      <c r="N96" s="8">
        <f>IFERROR(__xludf.DUMMYFUNCTION("IF(C96="""", 0, SUM(ARRAYFORMULA(IF(SPLIT(C96, "","")=""0"", 1, 0))))"),0.0)</f>
        <v>0</v>
      </c>
      <c r="O96" s="8" t="str">
        <f t="shared" si="5"/>
        <v>No</v>
      </c>
      <c r="P96" s="7">
        <f>IFERROR(__xludf.DUMMYFUNCTION("IF(C96="""", 0,
  SUM(
    ARRAYFORMULA(
      IFERROR(
        VALUE(REGEXREPLACE(TRIM(SPLIT(REGEXREPLACE(C96, ""[\[\]]"", """"), "","")), ""[^0-9.]"", """")),
        0
      )
    )
  )
)"),25010.0)</f>
        <v>25010</v>
      </c>
      <c r="Q96" s="7">
        <f t="shared" si="6"/>
        <v>1667.333333</v>
      </c>
    </row>
    <row r="97">
      <c r="A97" s="1" t="s">
        <v>296</v>
      </c>
      <c r="B97" s="2" t="s">
        <v>297</v>
      </c>
      <c r="C97" s="1" t="s">
        <v>298</v>
      </c>
      <c r="D97" s="3">
        <v>3100.0</v>
      </c>
      <c r="E97" s="3">
        <v>2500.0</v>
      </c>
      <c r="F97" s="3">
        <v>3900.0</v>
      </c>
      <c r="G97" s="3">
        <v>1200.0</v>
      </c>
      <c r="H97" s="3">
        <v>2780.0</v>
      </c>
      <c r="I97" s="3">
        <v>3350.0</v>
      </c>
      <c r="J97" s="7">
        <f t="shared" si="1"/>
        <v>16830</v>
      </c>
      <c r="K97" s="8" t="str">
        <f t="shared" si="2"/>
        <v>High (&gt;6,630$ – Top ~25%)</v>
      </c>
      <c r="L97" s="8" t="str">
        <f t="shared" si="3"/>
        <v>Paid Something</v>
      </c>
      <c r="M97" s="8">
        <f t="shared" si="4"/>
        <v>13</v>
      </c>
      <c r="N97" s="8">
        <f>IFERROR(__xludf.DUMMYFUNCTION("IF(C97="""", 0, SUM(ARRAYFORMULA(IF(SPLIT(C97, "","")=""0"", 1, 0))))"),0.0)</f>
        <v>0</v>
      </c>
      <c r="O97" s="8" t="str">
        <f t="shared" si="5"/>
        <v>No</v>
      </c>
      <c r="P97" s="7">
        <f>IFERROR(__xludf.DUMMYFUNCTION("IF(C97="""", 0,
  SUM(
    ARRAYFORMULA(
      IFERROR(
        VALUE(REGEXREPLACE(TRIM(SPLIT(REGEXREPLACE(C97, ""[\[\]]"", """"), "","")), ""[^0-9.]"", """")),
        0
      )
    )
  )
)"),40763.0)</f>
        <v>40763</v>
      </c>
      <c r="Q97" s="7">
        <f t="shared" si="6"/>
        <v>3135.615385</v>
      </c>
    </row>
    <row r="98">
      <c r="A98" s="1" t="s">
        <v>299</v>
      </c>
      <c r="B98" s="2" t="s">
        <v>300</v>
      </c>
      <c r="C98" s="1" t="s">
        <v>301</v>
      </c>
      <c r="D98" s="3">
        <v>3100.0</v>
      </c>
      <c r="E98" s="3">
        <v>2600.0</v>
      </c>
      <c r="F98" s="3">
        <v>2200.0</v>
      </c>
      <c r="G98" s="3">
        <v>2500.0</v>
      </c>
      <c r="H98" s="3">
        <v>3000.0</v>
      </c>
      <c r="I98" s="3">
        <v>1294.0</v>
      </c>
      <c r="J98" s="7">
        <f t="shared" si="1"/>
        <v>14694</v>
      </c>
      <c r="K98" s="8" t="str">
        <f t="shared" si="2"/>
        <v>High (&gt;6,630$ – Top ~25%)</v>
      </c>
      <c r="L98" s="8" t="str">
        <f t="shared" si="3"/>
        <v>Paid Something</v>
      </c>
      <c r="M98" s="8">
        <f t="shared" si="4"/>
        <v>16</v>
      </c>
      <c r="N98" s="8">
        <f>IFERROR(__xludf.DUMMYFUNCTION("IF(C98="""", 0, SUM(ARRAYFORMULA(IF(SPLIT(C98, "","")=""0"", 1, 0))))"),0.0)</f>
        <v>0</v>
      </c>
      <c r="O98" s="8" t="str">
        <f t="shared" si="5"/>
        <v>No</v>
      </c>
      <c r="P98" s="7">
        <f>IFERROR(__xludf.DUMMYFUNCTION("IF(C98="""", 0,
  SUM(
    ARRAYFORMULA(
      IFERROR(
        VALUE(REGEXREPLACE(TRIM(SPLIT(REGEXREPLACE(C98, ""[\[\]]"", """"), "","")), ""[^0-9.]"", """")),
        0
      )
    )
  )
)"),95189.0)</f>
        <v>95189</v>
      </c>
      <c r="Q98" s="7">
        <f t="shared" si="6"/>
        <v>5949.3125</v>
      </c>
    </row>
    <row r="99">
      <c r="A99" s="1" t="s">
        <v>302</v>
      </c>
      <c r="B99" s="2" t="s">
        <v>57</v>
      </c>
      <c r="C99" s="1" t="s">
        <v>303</v>
      </c>
      <c r="D99" s="3">
        <v>3100.0</v>
      </c>
      <c r="E99" s="3">
        <v>4000.0</v>
      </c>
      <c r="F99" s="3">
        <v>3100.0</v>
      </c>
      <c r="G99" s="3">
        <v>3000.0</v>
      </c>
      <c r="H99" s="3">
        <v>3100.0</v>
      </c>
      <c r="I99" s="3">
        <v>600.0</v>
      </c>
      <c r="J99" s="7">
        <f t="shared" si="1"/>
        <v>16900</v>
      </c>
      <c r="K99" s="8" t="str">
        <f t="shared" si="2"/>
        <v>High (&gt;6,630$ – Top ~25%)</v>
      </c>
      <c r="L99" s="8" t="str">
        <f t="shared" si="3"/>
        <v>Paid Something</v>
      </c>
      <c r="M99" s="8">
        <f t="shared" si="4"/>
        <v>13</v>
      </c>
      <c r="N99" s="8">
        <f>IFERROR(__xludf.DUMMYFUNCTION("IF(C99="""", 0, SUM(ARRAYFORMULA(IF(SPLIT(C99, "","")=""0"", 1, 0))))"),0.0)</f>
        <v>0</v>
      </c>
      <c r="O99" s="8" t="str">
        <f t="shared" si="5"/>
        <v>No</v>
      </c>
      <c r="P99" s="7">
        <f>IFERROR(__xludf.DUMMYFUNCTION("IF(C99="""", 0,
  SUM(
    ARRAYFORMULA(
      IFERROR(
        VALUE(REGEXREPLACE(TRIM(SPLIT(REGEXREPLACE(C99, ""[\[\]]"", """"), "","")), ""[^0-9.]"", """")),
        0
      )
    )
  )
)"),40064.0)</f>
        <v>40064</v>
      </c>
      <c r="Q99" s="7">
        <f t="shared" si="6"/>
        <v>3081.846154</v>
      </c>
    </row>
    <row r="100">
      <c r="A100" s="1" t="s">
        <v>304</v>
      </c>
      <c r="B100" s="2" t="s">
        <v>241</v>
      </c>
      <c r="C100" s="1" t="s">
        <v>305</v>
      </c>
      <c r="D100" s="3">
        <v>3100.0</v>
      </c>
      <c r="E100" s="3">
        <v>2600.0</v>
      </c>
      <c r="F100" s="3">
        <v>3000.0</v>
      </c>
      <c r="G100" s="3">
        <v>2300.0</v>
      </c>
      <c r="H100" s="3">
        <v>2500.0</v>
      </c>
      <c r="I100" s="3">
        <v>2064.0</v>
      </c>
      <c r="J100" s="7">
        <f t="shared" si="1"/>
        <v>15564</v>
      </c>
      <c r="K100" s="8" t="str">
        <f t="shared" si="2"/>
        <v>High (&gt;6,630$ – Top ~25%)</v>
      </c>
      <c r="L100" s="8" t="str">
        <f t="shared" si="3"/>
        <v>Paid Something</v>
      </c>
      <c r="M100" s="8">
        <f t="shared" si="4"/>
        <v>14</v>
      </c>
      <c r="N100" s="8">
        <f>IFERROR(__xludf.DUMMYFUNCTION("IF(C100="""", 0, SUM(ARRAYFORMULA(IF(SPLIT(C100, "","")=""0"", 1, 0))))"),0.0)</f>
        <v>0</v>
      </c>
      <c r="O100" s="8" t="str">
        <f t="shared" si="5"/>
        <v>No</v>
      </c>
      <c r="P100" s="7">
        <f>IFERROR(__xludf.DUMMYFUNCTION("IF(C100="""", 0,
  SUM(
    ARRAYFORMULA(
      IFERROR(
        VALUE(REGEXREPLACE(TRIM(SPLIT(REGEXREPLACE(C100, ""[\[\]]"", """"), "","")), ""[^0-9.]"", """")),
        0
      )
    )
  )
)"),41400.0)</f>
        <v>41400</v>
      </c>
      <c r="Q100" s="7">
        <f t="shared" si="6"/>
        <v>2957.142857</v>
      </c>
    </row>
  </sheetData>
  <autoFilter ref="$A$1:$P$1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26.63"/>
    <col customWidth="1" min="3" max="3" width="31.5"/>
    <col customWidth="1" min="4" max="4" width="19.75"/>
  </cols>
  <sheetData>
    <row r="1">
      <c r="A1" s="5" t="s">
        <v>306</v>
      </c>
      <c r="B1" s="9" t="s">
        <v>307</v>
      </c>
      <c r="C1" s="10" t="s">
        <v>308</v>
      </c>
      <c r="J1" s="8">
        <f>MIN(J2:J28008)</f>
        <v>0</v>
      </c>
    </row>
    <row r="2">
      <c r="A2" s="4" t="s">
        <v>309</v>
      </c>
      <c r="B2" s="11">
        <f>CORREL(Cleaned_Working!P:P, Cleaned_Working!J:J)</f>
        <v>0.1891740377</v>
      </c>
      <c r="C2" s="12" t="s">
        <v>310</v>
      </c>
    </row>
    <row r="3">
      <c r="A3" s="4" t="s">
        <v>311</v>
      </c>
      <c r="B3" s="11">
        <f>CORREL(Cleaned_Working!Q:Q, Cleaned_Working!J:J)</f>
        <v>0.3857971483</v>
      </c>
      <c r="C3" s="12" t="s">
        <v>312</v>
      </c>
    </row>
    <row r="4">
      <c r="A4" s="4" t="s">
        <v>313</v>
      </c>
      <c r="B4" s="7">
        <f>AVERAGEIF(Cleaned_Working!K:K, "*High*", Cleaned_Working!J:J)</f>
        <v>16125.56122</v>
      </c>
      <c r="C4" s="12" t="s">
        <v>314</v>
      </c>
    </row>
    <row r="5">
      <c r="A5" s="4" t="s">
        <v>315</v>
      </c>
      <c r="B5" s="7">
        <f>AVERAGEIF(Cleaned_Working!K:K, "*Low*", Cleaned_Working!J:J)</f>
        <v>4330</v>
      </c>
      <c r="C5" s="12" t="s">
        <v>316</v>
      </c>
    </row>
    <row r="6">
      <c r="A6" s="4" t="s">
        <v>317</v>
      </c>
      <c r="B6" s="7">
        <f>AVERAGEIF(Cleaned_Working!K:K, "*High*", Cleaned_Working!Q:Q)</f>
        <v>2475.858711</v>
      </c>
      <c r="C6" s="12" t="s">
        <v>318</v>
      </c>
    </row>
    <row r="7">
      <c r="A7" s="4" t="s">
        <v>319</v>
      </c>
      <c r="B7" s="7">
        <f>AVERAGEIF(Cleaned_Working!K:K, "*Low*", Cleaned_Working!Q:Q)</f>
        <v>1644</v>
      </c>
      <c r="C7" s="12" t="s">
        <v>320</v>
      </c>
    </row>
    <row r="8">
      <c r="A8" s="4" t="s">
        <v>321</v>
      </c>
      <c r="B8" s="13">
        <f>COUNTIF(Cleaned_Working!K:K, "High (&gt;6,630$ – Top ~25%)") / COUNTA(Cleaned_Working!K:K)</f>
        <v>0.93</v>
      </c>
      <c r="C8" s="12" t="s">
        <v>322</v>
      </c>
    </row>
    <row r="9">
      <c r="A9" s="4" t="s">
        <v>323</v>
      </c>
      <c r="B9" s="13">
        <f>COUNTIF(Cleaned_Working!K:K, "*Low*") / COUNTA(Cleaned_Working!K:K)</f>
        <v>0.01</v>
      </c>
      <c r="C9" s="12" t="s">
        <v>324</v>
      </c>
    </row>
    <row r="10">
      <c r="A10" s="4" t="s">
        <v>325</v>
      </c>
      <c r="B10" s="7">
        <f>AVERAGE(Cleaned_Working!P:P)</f>
        <v>26341.38384</v>
      </c>
      <c r="C10" s="12" t="s">
        <v>326</v>
      </c>
    </row>
    <row r="11">
      <c r="A11" s="4" t="s">
        <v>327</v>
      </c>
      <c r="B11" s="7">
        <f>AVERAGE(Cleaned_Working!Q:Q)</f>
        <v>2467.456098</v>
      </c>
      <c r="C11" s="12" t="s">
        <v>328</v>
      </c>
    </row>
    <row r="12">
      <c r="C12" s="14"/>
    </row>
    <row r="13">
      <c r="C13" s="14"/>
    </row>
    <row r="14">
      <c r="C14" s="14"/>
    </row>
    <row r="15">
      <c r="A15" s="5" t="s">
        <v>329</v>
      </c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drawing r:id="rId1"/>
</worksheet>
</file>